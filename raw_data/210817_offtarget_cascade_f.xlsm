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ben/Documents/CRISPRa TXTL paper 1 data for figures/"/>
    </mc:Choice>
  </mc:AlternateContent>
  <xr:revisionPtr revIDLastSave="0" documentId="8_{0C137DE2-ECE6-3F4E-8C40-807DE145B709}" xr6:coauthVersionLast="46" xr6:coauthVersionMax="46" xr10:uidLastSave="{00000000-0000-0000-0000-000000000000}"/>
  <bookViews>
    <workbookView xWindow="0" yWindow="460" windowWidth="28800" windowHeight="16760" activeTab="1" xr2:uid="{00000000-000D-0000-FFFF-FFFF00000000}"/>
  </bookViews>
  <sheets>
    <sheet name="210817_CellSys_OTscRNA_AofI_2" sheetId="1" r:id="rId1"/>
    <sheet name="gathered" sheetId="2" r:id="rId2"/>
    <sheet name="plottable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P19" i="2" l="1"/>
  <c r="AO19" i="2"/>
  <c r="AN19" i="2"/>
  <c r="AM19" i="2"/>
  <c r="AL19" i="2"/>
  <c r="AK19" i="2"/>
  <c r="AJ19" i="2"/>
  <c r="AI19" i="2"/>
  <c r="AH19" i="2"/>
  <c r="AG19" i="2"/>
  <c r="AD19" i="2"/>
  <c r="AC19" i="2"/>
  <c r="AB19" i="2"/>
  <c r="AA19" i="2"/>
  <c r="Z19" i="2"/>
  <c r="Y19" i="2"/>
  <c r="X19" i="2"/>
  <c r="W19" i="2"/>
  <c r="V19" i="2"/>
  <c r="U19" i="2"/>
  <c r="AP18" i="2"/>
  <c r="AO18" i="2"/>
  <c r="AN18" i="2"/>
  <c r="AM18" i="2"/>
  <c r="AL18" i="2"/>
  <c r="AK18" i="2"/>
  <c r="AJ18" i="2"/>
  <c r="AI18" i="2"/>
  <c r="AH18" i="2"/>
  <c r="AG18" i="2"/>
  <c r="AD18" i="2"/>
  <c r="AC18" i="2"/>
  <c r="AB18" i="2"/>
  <c r="AA18" i="2"/>
  <c r="Z18" i="2"/>
  <c r="Y18" i="2"/>
  <c r="X18" i="2"/>
  <c r="W18" i="2"/>
  <c r="V18" i="2"/>
  <c r="U18" i="2"/>
  <c r="AP17" i="2"/>
  <c r="AO17" i="2"/>
  <c r="AN17" i="2"/>
  <c r="AM17" i="2"/>
  <c r="AL17" i="2"/>
  <c r="AK17" i="2"/>
  <c r="AJ17" i="2"/>
  <c r="AI17" i="2"/>
  <c r="AH17" i="2"/>
  <c r="AG17" i="2"/>
  <c r="AD17" i="2"/>
  <c r="AC17" i="2"/>
  <c r="AB17" i="2"/>
  <c r="AA17" i="2"/>
  <c r="Z17" i="2"/>
  <c r="Y17" i="2"/>
  <c r="X17" i="2"/>
  <c r="W17" i="2"/>
  <c r="V17" i="2"/>
  <c r="U17" i="2"/>
  <c r="AP16" i="2"/>
  <c r="AO16" i="2"/>
  <c r="AN16" i="2"/>
  <c r="AM16" i="2"/>
  <c r="AL16" i="2"/>
  <c r="AK16" i="2"/>
  <c r="AJ16" i="2"/>
  <c r="AI16" i="2"/>
  <c r="AH16" i="2"/>
  <c r="AG16" i="2"/>
  <c r="AD16" i="2"/>
  <c r="AC16" i="2"/>
  <c r="AB16" i="2"/>
  <c r="AA16" i="2"/>
  <c r="Z16" i="2"/>
  <c r="Y16" i="2"/>
  <c r="X16" i="2"/>
  <c r="W16" i="2"/>
  <c r="V16" i="2"/>
  <c r="U16" i="2"/>
  <c r="AP15" i="2"/>
  <c r="AO15" i="2"/>
  <c r="AN15" i="2"/>
  <c r="AM15" i="2"/>
  <c r="AL15" i="2"/>
  <c r="AK15" i="2"/>
  <c r="AJ15" i="2"/>
  <c r="AI15" i="2"/>
  <c r="AH15" i="2"/>
  <c r="AG15" i="2"/>
  <c r="AD15" i="2"/>
  <c r="AC15" i="2"/>
  <c r="AB15" i="2"/>
  <c r="AA15" i="2"/>
  <c r="Z15" i="2"/>
  <c r="Y15" i="2"/>
  <c r="X15" i="2"/>
  <c r="W15" i="2"/>
  <c r="V15" i="2"/>
  <c r="U15" i="2"/>
  <c r="AP14" i="2"/>
  <c r="AO14" i="2"/>
  <c r="AN14" i="2"/>
  <c r="AM14" i="2"/>
  <c r="AL14" i="2"/>
  <c r="AK14" i="2"/>
  <c r="AJ14" i="2"/>
  <c r="AI14" i="2"/>
  <c r="AH14" i="2"/>
  <c r="AG14" i="2"/>
  <c r="AD14" i="2"/>
  <c r="AC14" i="2"/>
  <c r="AB14" i="2"/>
  <c r="AA14" i="2"/>
  <c r="Z14" i="2"/>
  <c r="Y14" i="2"/>
  <c r="X14" i="2"/>
  <c r="W14" i="2"/>
  <c r="V14" i="2"/>
  <c r="U14" i="2"/>
  <c r="AP13" i="2"/>
  <c r="AO13" i="2"/>
  <c r="AN13" i="2"/>
  <c r="AM13" i="2"/>
  <c r="AL13" i="2"/>
  <c r="AK13" i="2"/>
  <c r="AJ13" i="2"/>
  <c r="AI13" i="2"/>
  <c r="AH13" i="2"/>
  <c r="AG13" i="2"/>
  <c r="AD13" i="2"/>
  <c r="AC13" i="2"/>
  <c r="AB13" i="2"/>
  <c r="AA13" i="2"/>
  <c r="Z13" i="2"/>
  <c r="Y13" i="2"/>
  <c r="X13" i="2"/>
  <c r="W13" i="2"/>
  <c r="V13" i="2"/>
  <c r="U13" i="2"/>
  <c r="AP12" i="2"/>
  <c r="AO12" i="2"/>
  <c r="AN12" i="2"/>
  <c r="AM12" i="2"/>
  <c r="AL12" i="2"/>
  <c r="AK12" i="2"/>
  <c r="AJ12" i="2"/>
  <c r="AI12" i="2"/>
  <c r="AH12" i="2"/>
  <c r="AD12" i="2"/>
  <c r="AC12" i="2"/>
  <c r="AB12" i="2"/>
  <c r="AA12" i="2"/>
  <c r="Z12" i="2"/>
  <c r="Y12" i="2"/>
  <c r="X12" i="2"/>
  <c r="W12" i="2"/>
  <c r="V12" i="2"/>
  <c r="AG12" i="2"/>
  <c r="U12" i="2"/>
</calcChain>
</file>

<file path=xl/sharedStrings.xml><?xml version="1.0" encoding="utf-8"?>
<sst xmlns="http://schemas.openxmlformats.org/spreadsheetml/2006/main" count="189" uniqueCount="81">
  <si>
    <t>Software Version</t>
  </si>
  <si>
    <t>2.07.17</t>
  </si>
  <si>
    <t>Experiment File Path:</t>
  </si>
  <si>
    <t>C:\Users\Public\Documents\Experiments\BT\210817_CellSys_OTscRNA_AofI.xpt</t>
  </si>
  <si>
    <t>Protocol File Path:</t>
  </si>
  <si>
    <t>C:\Users\Public\Documents\Protocols\OD600_GFP_RFP_35gain.prt</t>
  </si>
  <si>
    <t>Plate Number</t>
  </si>
  <si>
    <t>Plate 2</t>
  </si>
  <si>
    <t>Date</t>
  </si>
  <si>
    <t>Time</t>
  </si>
  <si>
    <t>Reader Type:</t>
  </si>
  <si>
    <t>Synergy HTX</t>
  </si>
  <si>
    <t>Reader Serial Number:</t>
  </si>
  <si>
    <t>Unknown</t>
  </si>
  <si>
    <t>Reading Type</t>
  </si>
  <si>
    <t>Reader</t>
  </si>
  <si>
    <t>Procedure Details</t>
  </si>
  <si>
    <t>Plate Type</t>
  </si>
  <si>
    <t>96 WELL PLATE</t>
  </si>
  <si>
    <t>Well Selection</t>
  </si>
  <si>
    <t>Runtime</t>
  </si>
  <si>
    <t>Eject plate on completion</t>
  </si>
  <si>
    <t>Read</t>
  </si>
  <si>
    <t>Absorbance Endpoint</t>
  </si>
  <si>
    <t>Full Plate</t>
  </si>
  <si>
    <t>Wavelengths:  600</t>
  </si>
  <si>
    <t>Read Speed: Normal,  Delay: 100 msec,  Measurements/Data Point: 8</t>
  </si>
  <si>
    <t>GFP+RFP</t>
  </si>
  <si>
    <t>Fluorescence Endpoint</t>
  </si>
  <si>
    <t>Filter Set 1</t>
  </si>
  <si>
    <t xml:space="preserve">    Excitation: 485/20,  Emission: 528/20</t>
  </si>
  <si>
    <t xml:space="preserve">    Optics: Bottom,  Gain: 35</t>
  </si>
  <si>
    <t>Filter Set 2</t>
  </si>
  <si>
    <t xml:space="preserve">    Excitation: 540/35,  Emission: 600/40</t>
  </si>
  <si>
    <t>Light Source: Tungsten,  Extended Dynamic Range</t>
  </si>
  <si>
    <t>Read Speed: Normal,  Delay: 100 msec,  Measurements/Data Point: 10</t>
  </si>
  <si>
    <t>Actual Temperature:</t>
  </si>
  <si>
    <t>Results</t>
  </si>
  <si>
    <t>A</t>
  </si>
  <si>
    <t>GFP+RFP:485/20,528/20</t>
  </si>
  <si>
    <t>GFP+RFP:540/35,600/40</t>
  </si>
  <si>
    <t>Ratio</t>
  </si>
  <si>
    <t>B</t>
  </si>
  <si>
    <t>C</t>
  </si>
  <si>
    <t>D</t>
  </si>
  <si>
    <t>E</t>
  </si>
  <si>
    <t>F</t>
  </si>
  <si>
    <t>G</t>
  </si>
  <si>
    <t>H</t>
  </si>
  <si>
    <t>Plate2</t>
  </si>
  <si>
    <t>Plate1</t>
  </si>
  <si>
    <t>Plate3</t>
  </si>
  <si>
    <t>pBT002+AAV_1</t>
  </si>
  <si>
    <t>pBT002+AAV_2</t>
  </si>
  <si>
    <t>pBT002+AAV_3</t>
  </si>
  <si>
    <t>PBT002+J206_1</t>
  </si>
  <si>
    <t>PBT002+J206_3</t>
  </si>
  <si>
    <t>PBT002+J206_2</t>
  </si>
  <si>
    <t>pBT001+AAV_1</t>
  </si>
  <si>
    <t>pBT001+AAV_2</t>
  </si>
  <si>
    <t>pBT001+AAV_3</t>
  </si>
  <si>
    <t>EMPTY</t>
  </si>
  <si>
    <t>pBT001.RR2-14+AAV_1</t>
  </si>
  <si>
    <t>pBT001.RR2-14+AAV_3</t>
  </si>
  <si>
    <t>pBT001.RR2-14+AAV_2</t>
  </si>
  <si>
    <t>pBT001.RR2-14+J206_1</t>
  </si>
  <si>
    <t>pBT001.RR2-14+J206_2</t>
  </si>
  <si>
    <t>pBT001.RR2-14+J206_3</t>
  </si>
  <si>
    <t>pBT001.J2M+AAV_1</t>
  </si>
  <si>
    <t>pBT001.J2M+J206_1</t>
  </si>
  <si>
    <t>pBT001.J2M+J206_3</t>
  </si>
  <si>
    <t>pBT001.J2M+J206_2</t>
  </si>
  <si>
    <t>pBT001.J2M+AAV_3</t>
  </si>
  <si>
    <t>pBT001.J2M+AAV_2</t>
  </si>
  <si>
    <t>pJF143.J3+AAV_1</t>
  </si>
  <si>
    <t>pJF143.J3+J306_1</t>
  </si>
  <si>
    <t>pJF143.J3+J306_3</t>
  </si>
  <si>
    <t>pJF143.J3+J306_2</t>
  </si>
  <si>
    <t>pJF143.J3+AAV_3</t>
  </si>
  <si>
    <t>pJF143.J3+AAV_2</t>
  </si>
  <si>
    <t>aTc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</si>
</sst>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19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N120"/>
  <sheetViews>
    <sheetView topLeftCell="A65" zoomScale="50" workbookViewId="0">
      <selection activeCell="D130" sqref="D130"/>
    </sheetView>
  </sheetViews>
  <sheetFormatPr baseColWidth="10" defaultColWidth="11" defaultRowHeight="16" x14ac:dyDescent="0.2"/>
  <sheetData>
    <row r="3" spans="1:2" x14ac:dyDescent="0.2">
      <c r="A3" t="s">
        <v>0</v>
      </c>
      <c r="B3" t="s">
        <v>1</v>
      </c>
    </row>
    <row r="7" spans="1:2" x14ac:dyDescent="0.2">
      <c r="A7" t="s">
        <v>2</v>
      </c>
      <c r="B7" t="s">
        <v>3</v>
      </c>
    </row>
    <row r="8" spans="1:2" x14ac:dyDescent="0.2">
      <c r="A8" t="s">
        <v>4</v>
      </c>
      <c r="B8" t="s">
        <v>5</v>
      </c>
    </row>
    <row r="12" spans="1:2" x14ac:dyDescent="0.2">
      <c r="A12" t="s">
        <v>6</v>
      </c>
      <c r="B12" t="s">
        <v>7</v>
      </c>
    </row>
    <row r="13" spans="1:2" x14ac:dyDescent="0.2">
      <c r="A13" t="s">
        <v>8</v>
      </c>
      <c r="B13" s="1">
        <v>44426</v>
      </c>
    </row>
    <row r="14" spans="1:2" x14ac:dyDescent="0.2">
      <c r="A14" t="s">
        <v>9</v>
      </c>
      <c r="B14" s="2">
        <v>0.43047453703703703</v>
      </c>
    </row>
    <row r="15" spans="1:2" x14ac:dyDescent="0.2">
      <c r="A15" t="s">
        <v>10</v>
      </c>
      <c r="B15" t="s">
        <v>11</v>
      </c>
    </row>
    <row r="16" spans="1:2" x14ac:dyDescent="0.2">
      <c r="A16" t="s">
        <v>12</v>
      </c>
      <c r="B16" t="s">
        <v>13</v>
      </c>
    </row>
    <row r="17" spans="1:2" x14ac:dyDescent="0.2">
      <c r="A17" t="s">
        <v>14</v>
      </c>
      <c r="B17" t="s">
        <v>15</v>
      </c>
    </row>
    <row r="19" spans="1:2" x14ac:dyDescent="0.2">
      <c r="A19" t="s">
        <v>16</v>
      </c>
    </row>
    <row r="21" spans="1:2" x14ac:dyDescent="0.2">
      <c r="A21" t="s">
        <v>17</v>
      </c>
      <c r="B21" t="s">
        <v>18</v>
      </c>
    </row>
    <row r="22" spans="1:2" x14ac:dyDescent="0.2">
      <c r="A22" t="s">
        <v>19</v>
      </c>
      <c r="B22" t="s">
        <v>20</v>
      </c>
    </row>
    <row r="23" spans="1:2" x14ac:dyDescent="0.2">
      <c r="A23" t="s">
        <v>21</v>
      </c>
    </row>
    <row r="24" spans="1:2" x14ac:dyDescent="0.2">
      <c r="A24" t="s">
        <v>22</v>
      </c>
      <c r="B24" t="s">
        <v>23</v>
      </c>
    </row>
    <row r="25" spans="1:2" x14ac:dyDescent="0.2">
      <c r="B25" t="s">
        <v>24</v>
      </c>
    </row>
    <row r="26" spans="1:2" x14ac:dyDescent="0.2">
      <c r="B26" t="s">
        <v>25</v>
      </c>
    </row>
    <row r="27" spans="1:2" x14ac:dyDescent="0.2">
      <c r="B27" t="s">
        <v>26</v>
      </c>
    </row>
    <row r="28" spans="1:2" x14ac:dyDescent="0.2">
      <c r="A28" t="s">
        <v>22</v>
      </c>
      <c r="B28" t="s">
        <v>27</v>
      </c>
    </row>
    <row r="29" spans="1:2" x14ac:dyDescent="0.2">
      <c r="B29" t="s">
        <v>28</v>
      </c>
    </row>
    <row r="30" spans="1:2" x14ac:dyDescent="0.2">
      <c r="B30" t="s">
        <v>24</v>
      </c>
    </row>
    <row r="31" spans="1:2" x14ac:dyDescent="0.2">
      <c r="B31" t="s">
        <v>29</v>
      </c>
    </row>
    <row r="32" spans="1:2" x14ac:dyDescent="0.2">
      <c r="B32" t="s">
        <v>30</v>
      </c>
    </row>
    <row r="33" spans="1:2" x14ac:dyDescent="0.2">
      <c r="B33" t="s">
        <v>31</v>
      </c>
    </row>
    <row r="34" spans="1:2" x14ac:dyDescent="0.2">
      <c r="B34" t="s">
        <v>32</v>
      </c>
    </row>
    <row r="35" spans="1:2" x14ac:dyDescent="0.2">
      <c r="B35" t="s">
        <v>33</v>
      </c>
    </row>
    <row r="36" spans="1:2" x14ac:dyDescent="0.2">
      <c r="B36" t="s">
        <v>31</v>
      </c>
    </row>
    <row r="37" spans="1:2" x14ac:dyDescent="0.2">
      <c r="B37" t="s">
        <v>34</v>
      </c>
    </row>
    <row r="38" spans="1:2" x14ac:dyDescent="0.2">
      <c r="B38" t="s">
        <v>35</v>
      </c>
    </row>
    <row r="42" spans="1:2" x14ac:dyDescent="0.2">
      <c r="A42" t="s">
        <v>36</v>
      </c>
      <c r="B42">
        <v>20.8</v>
      </c>
    </row>
    <row r="46" spans="1:2" x14ac:dyDescent="0.2">
      <c r="A46" t="s">
        <v>36</v>
      </c>
      <c r="B46">
        <v>20.8</v>
      </c>
    </row>
    <row r="50" spans="1:14" x14ac:dyDescent="0.2">
      <c r="A50" t="s">
        <v>36</v>
      </c>
      <c r="B50">
        <v>20.8</v>
      </c>
    </row>
    <row r="52" spans="1:14" x14ac:dyDescent="0.2">
      <c r="A52" t="s">
        <v>37</v>
      </c>
    </row>
    <row r="53" spans="1:14" x14ac:dyDescent="0.2">
      <c r="B53">
        <v>1</v>
      </c>
      <c r="C53">
        <v>2</v>
      </c>
      <c r="D53">
        <v>3</v>
      </c>
      <c r="E53">
        <v>4</v>
      </c>
      <c r="F53">
        <v>5</v>
      </c>
      <c r="G53">
        <v>6</v>
      </c>
      <c r="H53">
        <v>7</v>
      </c>
      <c r="I53">
        <v>8</v>
      </c>
      <c r="J53">
        <v>9</v>
      </c>
      <c r="K53">
        <v>10</v>
      </c>
      <c r="L53">
        <v>11</v>
      </c>
      <c r="M53">
        <v>12</v>
      </c>
    </row>
    <row r="54" spans="1:14" x14ac:dyDescent="0.2">
      <c r="A54" t="s">
        <v>38</v>
      </c>
      <c r="B54">
        <v>1.0649999999999999</v>
      </c>
      <c r="C54">
        <v>1.0620000000000001</v>
      </c>
      <c r="D54">
        <v>1.0569999999999999</v>
      </c>
      <c r="E54">
        <v>1.107</v>
      </c>
      <c r="F54">
        <v>1.0880000000000001</v>
      </c>
      <c r="G54">
        <v>1.0569999999999999</v>
      </c>
      <c r="H54">
        <v>0.94899999999999995</v>
      </c>
      <c r="I54">
        <v>0.92200000000000004</v>
      </c>
      <c r="J54">
        <v>0.93300000000000005</v>
      </c>
      <c r="K54">
        <v>3.6999999999999998E-2</v>
      </c>
      <c r="L54">
        <v>3.5999999999999997E-2</v>
      </c>
      <c r="M54">
        <v>3.5000000000000003E-2</v>
      </c>
      <c r="N54">
        <v>600</v>
      </c>
    </row>
    <row r="55" spans="1:14" x14ac:dyDescent="0.2">
      <c r="B55">
        <v>232</v>
      </c>
      <c r="C55">
        <v>234</v>
      </c>
      <c r="D55">
        <v>230</v>
      </c>
      <c r="E55">
        <v>245</v>
      </c>
      <c r="F55">
        <v>243</v>
      </c>
      <c r="G55">
        <v>232</v>
      </c>
      <c r="H55">
        <v>228</v>
      </c>
      <c r="I55">
        <v>223</v>
      </c>
      <c r="J55">
        <v>240</v>
      </c>
      <c r="K55">
        <v>28</v>
      </c>
      <c r="L55">
        <v>25</v>
      </c>
      <c r="M55">
        <v>30</v>
      </c>
      <c r="N55" t="s">
        <v>39</v>
      </c>
    </row>
    <row r="56" spans="1:14" x14ac:dyDescent="0.2">
      <c r="B56">
        <v>21805</v>
      </c>
      <c r="C56">
        <v>21533</v>
      </c>
      <c r="D56">
        <v>21234</v>
      </c>
      <c r="E56">
        <v>22773</v>
      </c>
      <c r="F56">
        <v>22284</v>
      </c>
      <c r="G56">
        <v>21548</v>
      </c>
      <c r="H56">
        <v>6925</v>
      </c>
      <c r="I56">
        <v>6613</v>
      </c>
      <c r="J56">
        <v>7220</v>
      </c>
      <c r="K56">
        <v>48</v>
      </c>
      <c r="L56">
        <v>50</v>
      </c>
      <c r="M56">
        <v>51</v>
      </c>
      <c r="N56" t="s">
        <v>40</v>
      </c>
    </row>
    <row r="57" spans="1:14" x14ac:dyDescent="0.2">
      <c r="B57">
        <v>20476.100999999999</v>
      </c>
      <c r="C57">
        <v>20273.986000000001</v>
      </c>
      <c r="D57">
        <v>20098.437999999998</v>
      </c>
      <c r="E57">
        <v>20568.099999999999</v>
      </c>
      <c r="F57">
        <v>20487.267</v>
      </c>
      <c r="G57">
        <v>20395.646000000001</v>
      </c>
      <c r="H57">
        <v>7297.1549999999997</v>
      </c>
      <c r="I57">
        <v>7168.5640000000003</v>
      </c>
      <c r="J57">
        <v>7740.9669999999996</v>
      </c>
      <c r="K57">
        <v>1286.8630000000001</v>
      </c>
      <c r="L57">
        <v>1385.0419999999999</v>
      </c>
      <c r="M57">
        <v>1452.991</v>
      </c>
      <c r="N57" t="s">
        <v>41</v>
      </c>
    </row>
    <row r="58" spans="1:14" x14ac:dyDescent="0.2">
      <c r="A58" t="s">
        <v>42</v>
      </c>
      <c r="B58">
        <v>1.1020000000000001</v>
      </c>
      <c r="C58">
        <v>1.085</v>
      </c>
      <c r="D58">
        <v>1.0980000000000001</v>
      </c>
      <c r="E58">
        <v>1.1259999999999999</v>
      </c>
      <c r="F58">
        <v>1.0920000000000001</v>
      </c>
      <c r="G58">
        <v>1.0900000000000001</v>
      </c>
      <c r="H58">
        <v>0.95299999999999996</v>
      </c>
      <c r="I58">
        <v>0.95199999999999996</v>
      </c>
      <c r="J58">
        <v>0.97</v>
      </c>
      <c r="K58">
        <v>3.6999999999999998E-2</v>
      </c>
      <c r="L58">
        <v>3.5000000000000003E-2</v>
      </c>
      <c r="M58">
        <v>3.6999999999999998E-2</v>
      </c>
      <c r="N58">
        <v>600</v>
      </c>
    </row>
    <row r="59" spans="1:14" x14ac:dyDescent="0.2">
      <c r="B59">
        <v>227</v>
      </c>
      <c r="C59">
        <v>218</v>
      </c>
      <c r="D59">
        <v>220</v>
      </c>
      <c r="E59">
        <v>231</v>
      </c>
      <c r="F59">
        <v>227</v>
      </c>
      <c r="G59">
        <v>225</v>
      </c>
      <c r="H59">
        <v>197</v>
      </c>
      <c r="I59">
        <v>197</v>
      </c>
      <c r="J59">
        <v>196</v>
      </c>
      <c r="K59">
        <v>30</v>
      </c>
      <c r="L59">
        <v>30</v>
      </c>
      <c r="M59">
        <v>28</v>
      </c>
      <c r="N59" t="s">
        <v>39</v>
      </c>
    </row>
    <row r="60" spans="1:14" x14ac:dyDescent="0.2">
      <c r="B60">
        <v>22290</v>
      </c>
      <c r="C60">
        <v>21450</v>
      </c>
      <c r="D60">
        <v>21726</v>
      </c>
      <c r="E60">
        <v>22580</v>
      </c>
      <c r="F60">
        <v>21715</v>
      </c>
      <c r="G60">
        <v>21891</v>
      </c>
      <c r="H60">
        <v>6830</v>
      </c>
      <c r="I60">
        <v>6804</v>
      </c>
      <c r="J60">
        <v>7438</v>
      </c>
      <c r="K60">
        <v>50</v>
      </c>
      <c r="L60">
        <v>52</v>
      </c>
      <c r="M60">
        <v>49</v>
      </c>
      <c r="N60" t="s">
        <v>40</v>
      </c>
    </row>
    <row r="61" spans="1:14" x14ac:dyDescent="0.2">
      <c r="B61">
        <v>20232.367999999999</v>
      </c>
      <c r="C61">
        <v>19769.584999999999</v>
      </c>
      <c r="D61">
        <v>19786.884999999998</v>
      </c>
      <c r="E61">
        <v>20053.286</v>
      </c>
      <c r="F61">
        <v>19881.89</v>
      </c>
      <c r="G61">
        <v>20081.644</v>
      </c>
      <c r="H61">
        <v>7168.3459999999995</v>
      </c>
      <c r="I61">
        <v>7146.308</v>
      </c>
      <c r="J61">
        <v>7667.2510000000002</v>
      </c>
      <c r="K61">
        <v>1358.6959999999999</v>
      </c>
      <c r="L61">
        <v>1507.2460000000001</v>
      </c>
      <c r="M61">
        <v>1324.3240000000001</v>
      </c>
      <c r="N61" t="s">
        <v>41</v>
      </c>
    </row>
    <row r="62" spans="1:14" x14ac:dyDescent="0.2">
      <c r="A62" t="s">
        <v>43</v>
      </c>
      <c r="B62">
        <v>1.1160000000000001</v>
      </c>
      <c r="C62">
        <v>1.117</v>
      </c>
      <c r="D62">
        <v>1.085</v>
      </c>
      <c r="E62">
        <v>1.1060000000000001</v>
      </c>
      <c r="F62">
        <v>1.113</v>
      </c>
      <c r="G62">
        <v>1.071</v>
      </c>
      <c r="H62">
        <v>0.92200000000000004</v>
      </c>
      <c r="I62">
        <v>0.95299999999999996</v>
      </c>
      <c r="J62">
        <v>0.98399999999999999</v>
      </c>
      <c r="K62">
        <v>3.5999999999999997E-2</v>
      </c>
      <c r="L62">
        <v>3.5999999999999997E-2</v>
      </c>
      <c r="M62">
        <v>3.5000000000000003E-2</v>
      </c>
      <c r="N62">
        <v>600</v>
      </c>
    </row>
    <row r="63" spans="1:14" x14ac:dyDescent="0.2">
      <c r="B63">
        <v>218</v>
      </c>
      <c r="C63">
        <v>216</v>
      </c>
      <c r="D63">
        <v>211</v>
      </c>
      <c r="E63">
        <v>219</v>
      </c>
      <c r="F63">
        <v>220</v>
      </c>
      <c r="G63">
        <v>213</v>
      </c>
      <c r="H63">
        <v>183</v>
      </c>
      <c r="I63">
        <v>188</v>
      </c>
      <c r="J63">
        <v>191</v>
      </c>
      <c r="K63">
        <v>29</v>
      </c>
      <c r="L63">
        <v>25</v>
      </c>
      <c r="M63">
        <v>28</v>
      </c>
      <c r="N63" t="s">
        <v>39</v>
      </c>
    </row>
    <row r="64" spans="1:14" x14ac:dyDescent="0.2">
      <c r="B64">
        <v>22330</v>
      </c>
      <c r="C64">
        <v>22144</v>
      </c>
      <c r="D64">
        <v>21182</v>
      </c>
      <c r="E64">
        <v>21796</v>
      </c>
      <c r="F64">
        <v>22070</v>
      </c>
      <c r="G64">
        <v>21287</v>
      </c>
      <c r="H64">
        <v>6302</v>
      </c>
      <c r="I64">
        <v>6605</v>
      </c>
      <c r="J64">
        <v>7359</v>
      </c>
      <c r="K64">
        <v>50</v>
      </c>
      <c r="L64">
        <v>48</v>
      </c>
      <c r="M64">
        <v>48</v>
      </c>
      <c r="N64" t="s">
        <v>40</v>
      </c>
    </row>
    <row r="65" spans="1:14" x14ac:dyDescent="0.2">
      <c r="B65">
        <v>20014.341</v>
      </c>
      <c r="C65">
        <v>19824.53</v>
      </c>
      <c r="D65">
        <v>19527.98</v>
      </c>
      <c r="E65">
        <v>19701.707999999999</v>
      </c>
      <c r="F65">
        <v>19820.385999999999</v>
      </c>
      <c r="G65">
        <v>19881.385999999999</v>
      </c>
      <c r="H65">
        <v>6832.9179999999997</v>
      </c>
      <c r="I65">
        <v>6932.9269999999997</v>
      </c>
      <c r="J65">
        <v>7478.6589999999997</v>
      </c>
      <c r="K65">
        <v>1400.56</v>
      </c>
      <c r="L65">
        <v>1348.3150000000001</v>
      </c>
      <c r="M65">
        <v>1367.521</v>
      </c>
      <c r="N65" t="s">
        <v>41</v>
      </c>
    </row>
    <row r="66" spans="1:14" x14ac:dyDescent="0.2">
      <c r="A66" t="s">
        <v>44</v>
      </c>
      <c r="B66">
        <v>1.1399999999999999</v>
      </c>
      <c r="C66">
        <v>1.1819999999999999</v>
      </c>
      <c r="D66">
        <v>1.177</v>
      </c>
      <c r="E66">
        <v>1.175</v>
      </c>
      <c r="F66">
        <v>1.153</v>
      </c>
      <c r="G66">
        <v>1.1499999999999999</v>
      </c>
      <c r="H66">
        <v>0.98199999999999998</v>
      </c>
      <c r="I66">
        <v>0.96899999999999997</v>
      </c>
      <c r="J66">
        <v>0.998</v>
      </c>
      <c r="K66">
        <v>3.5999999999999997E-2</v>
      </c>
      <c r="L66">
        <v>3.3000000000000002E-2</v>
      </c>
      <c r="M66">
        <v>3.5000000000000003E-2</v>
      </c>
      <c r="N66">
        <v>600</v>
      </c>
    </row>
    <row r="67" spans="1:14" x14ac:dyDescent="0.2">
      <c r="B67">
        <v>224</v>
      </c>
      <c r="C67">
        <v>226</v>
      </c>
      <c r="D67">
        <v>226</v>
      </c>
      <c r="E67">
        <v>240</v>
      </c>
      <c r="F67">
        <v>234</v>
      </c>
      <c r="G67">
        <v>236</v>
      </c>
      <c r="H67">
        <v>193</v>
      </c>
      <c r="I67">
        <v>189</v>
      </c>
      <c r="J67">
        <v>195</v>
      </c>
      <c r="K67">
        <v>26</v>
      </c>
      <c r="L67">
        <v>28</v>
      </c>
      <c r="M67">
        <v>31</v>
      </c>
      <c r="N67" t="s">
        <v>39</v>
      </c>
    </row>
    <row r="68" spans="1:14" x14ac:dyDescent="0.2">
      <c r="B68">
        <v>23099</v>
      </c>
      <c r="C68">
        <v>23746</v>
      </c>
      <c r="D68">
        <v>23351</v>
      </c>
      <c r="E68">
        <v>23240</v>
      </c>
      <c r="F68">
        <v>22593</v>
      </c>
      <c r="G68">
        <v>22885</v>
      </c>
      <c r="H68">
        <v>6702</v>
      </c>
      <c r="I68">
        <v>6528</v>
      </c>
      <c r="J68">
        <v>7187</v>
      </c>
      <c r="K68">
        <v>52</v>
      </c>
      <c r="L68">
        <v>51</v>
      </c>
      <c r="M68">
        <v>47</v>
      </c>
      <c r="N68" t="s">
        <v>40</v>
      </c>
    </row>
    <row r="69" spans="1:14" x14ac:dyDescent="0.2">
      <c r="B69">
        <v>20260.503000000001</v>
      </c>
      <c r="C69">
        <v>20096.478999999999</v>
      </c>
      <c r="D69">
        <v>19847.853999999999</v>
      </c>
      <c r="E69">
        <v>19782.091</v>
      </c>
      <c r="F69">
        <v>19603.471000000001</v>
      </c>
      <c r="G69">
        <v>19901.731</v>
      </c>
      <c r="H69">
        <v>6826.933</v>
      </c>
      <c r="I69">
        <v>6736.8419999999996</v>
      </c>
      <c r="J69">
        <v>7203.5680000000002</v>
      </c>
      <c r="K69">
        <v>1440.443</v>
      </c>
      <c r="L69">
        <v>1526.9459999999999</v>
      </c>
      <c r="M69">
        <v>1327.684</v>
      </c>
      <c r="N69" t="s">
        <v>41</v>
      </c>
    </row>
    <row r="70" spans="1:14" x14ac:dyDescent="0.2">
      <c r="A70" t="s">
        <v>45</v>
      </c>
      <c r="B70">
        <v>1.121</v>
      </c>
      <c r="C70">
        <v>1.107</v>
      </c>
      <c r="D70">
        <v>1.1040000000000001</v>
      </c>
      <c r="E70">
        <v>1.1259999999999999</v>
      </c>
      <c r="F70">
        <v>1.1259999999999999</v>
      </c>
      <c r="G70">
        <v>1.113</v>
      </c>
      <c r="H70">
        <v>0.96099999999999997</v>
      </c>
      <c r="I70">
        <v>0.95499999999999996</v>
      </c>
      <c r="J70">
        <v>0.98399999999999999</v>
      </c>
      <c r="K70">
        <v>3.5999999999999997E-2</v>
      </c>
      <c r="L70">
        <v>3.4000000000000002E-2</v>
      </c>
      <c r="M70">
        <v>3.5999999999999997E-2</v>
      </c>
      <c r="N70">
        <v>600</v>
      </c>
    </row>
    <row r="71" spans="1:14" x14ac:dyDescent="0.2">
      <c r="B71">
        <v>222</v>
      </c>
      <c r="C71">
        <v>222</v>
      </c>
      <c r="D71">
        <v>219</v>
      </c>
      <c r="E71">
        <v>257</v>
      </c>
      <c r="F71">
        <v>257</v>
      </c>
      <c r="G71">
        <v>265</v>
      </c>
      <c r="H71">
        <v>199</v>
      </c>
      <c r="I71">
        <v>192</v>
      </c>
      <c r="J71">
        <v>203</v>
      </c>
      <c r="K71">
        <v>30</v>
      </c>
      <c r="L71">
        <v>28</v>
      </c>
      <c r="M71">
        <v>31</v>
      </c>
      <c r="N71" t="s">
        <v>39</v>
      </c>
    </row>
    <row r="72" spans="1:14" x14ac:dyDescent="0.2">
      <c r="B72">
        <v>22688</v>
      </c>
      <c r="C72">
        <v>21961</v>
      </c>
      <c r="D72">
        <v>21711</v>
      </c>
      <c r="E72">
        <v>22292</v>
      </c>
      <c r="F72">
        <v>22315</v>
      </c>
      <c r="G72">
        <v>22389</v>
      </c>
      <c r="H72">
        <v>6618</v>
      </c>
      <c r="I72">
        <v>6340</v>
      </c>
      <c r="J72">
        <v>7250</v>
      </c>
      <c r="K72">
        <v>50</v>
      </c>
      <c r="L72">
        <v>50</v>
      </c>
      <c r="M72">
        <v>50</v>
      </c>
      <c r="N72" t="s">
        <v>40</v>
      </c>
    </row>
    <row r="73" spans="1:14" x14ac:dyDescent="0.2">
      <c r="B73">
        <v>20248.103999999999</v>
      </c>
      <c r="C73">
        <v>19847.266</v>
      </c>
      <c r="D73">
        <v>19665.760999999999</v>
      </c>
      <c r="E73">
        <v>19795.755000000001</v>
      </c>
      <c r="F73">
        <v>19817.939999999999</v>
      </c>
      <c r="G73">
        <v>20121.327000000001</v>
      </c>
      <c r="H73">
        <v>6890.1610000000001</v>
      </c>
      <c r="I73">
        <v>6639.4390000000003</v>
      </c>
      <c r="J73">
        <v>7368.6350000000002</v>
      </c>
      <c r="K73">
        <v>1396.6479999999999</v>
      </c>
      <c r="L73">
        <v>1492.537</v>
      </c>
      <c r="M73">
        <v>1385.0419999999999</v>
      </c>
      <c r="N73" t="s">
        <v>41</v>
      </c>
    </row>
    <row r="74" spans="1:14" x14ac:dyDescent="0.2">
      <c r="A74" t="s">
        <v>46</v>
      </c>
      <c r="B74">
        <v>1.1060000000000001</v>
      </c>
      <c r="C74">
        <v>1.1359999999999999</v>
      </c>
      <c r="D74">
        <v>1.123</v>
      </c>
      <c r="E74">
        <v>1.129</v>
      </c>
      <c r="F74">
        <v>1.1379999999999999</v>
      </c>
      <c r="G74">
        <v>1.119</v>
      </c>
      <c r="H74">
        <v>0.97199999999999998</v>
      </c>
      <c r="I74">
        <v>0.96899999999999997</v>
      </c>
      <c r="J74">
        <v>0.98299999999999998</v>
      </c>
      <c r="K74">
        <v>3.5999999999999997E-2</v>
      </c>
      <c r="L74">
        <v>3.4000000000000002E-2</v>
      </c>
      <c r="M74">
        <v>3.5000000000000003E-2</v>
      </c>
      <c r="N74">
        <v>600</v>
      </c>
    </row>
    <row r="75" spans="1:14" x14ac:dyDescent="0.2">
      <c r="B75">
        <v>233</v>
      </c>
      <c r="C75">
        <v>230</v>
      </c>
      <c r="D75">
        <v>234</v>
      </c>
      <c r="E75">
        <v>285</v>
      </c>
      <c r="F75">
        <v>286</v>
      </c>
      <c r="G75">
        <v>287</v>
      </c>
      <c r="H75">
        <v>214</v>
      </c>
      <c r="I75">
        <v>216</v>
      </c>
      <c r="J75">
        <v>217</v>
      </c>
      <c r="K75">
        <v>27</v>
      </c>
      <c r="L75">
        <v>28</v>
      </c>
      <c r="M75">
        <v>29</v>
      </c>
      <c r="N75" t="s">
        <v>39</v>
      </c>
    </row>
    <row r="76" spans="1:14" x14ac:dyDescent="0.2">
      <c r="B76">
        <v>22231</v>
      </c>
      <c r="C76">
        <v>22498</v>
      </c>
      <c r="D76">
        <v>21946</v>
      </c>
      <c r="E76">
        <v>22123</v>
      </c>
      <c r="F76">
        <v>22557</v>
      </c>
      <c r="G76">
        <v>22018</v>
      </c>
      <c r="H76">
        <v>6543</v>
      </c>
      <c r="I76">
        <v>6543</v>
      </c>
      <c r="J76">
        <v>7292</v>
      </c>
      <c r="K76">
        <v>52</v>
      </c>
      <c r="L76">
        <v>51</v>
      </c>
      <c r="M76">
        <v>48</v>
      </c>
      <c r="N76" t="s">
        <v>40</v>
      </c>
    </row>
    <row r="77" spans="1:14" x14ac:dyDescent="0.2">
      <c r="B77">
        <v>20100.362000000001</v>
      </c>
      <c r="C77">
        <v>19813.297999999999</v>
      </c>
      <c r="D77">
        <v>19544.038</v>
      </c>
      <c r="E77">
        <v>19598.688999999998</v>
      </c>
      <c r="F77">
        <v>19826.844000000001</v>
      </c>
      <c r="G77">
        <v>19678.255000000001</v>
      </c>
      <c r="H77">
        <v>6734.9459999999999</v>
      </c>
      <c r="I77">
        <v>6755.11</v>
      </c>
      <c r="J77">
        <v>7417.3530000000001</v>
      </c>
      <c r="K77">
        <v>1424.6579999999999</v>
      </c>
      <c r="L77">
        <v>1491.2280000000001</v>
      </c>
      <c r="M77">
        <v>1387.2829999999999</v>
      </c>
      <c r="N77" t="s">
        <v>41</v>
      </c>
    </row>
    <row r="78" spans="1:14" x14ac:dyDescent="0.2">
      <c r="A78" t="s">
        <v>47</v>
      </c>
      <c r="B78">
        <v>1.052</v>
      </c>
      <c r="C78">
        <v>1.1000000000000001</v>
      </c>
      <c r="D78">
        <v>1.0940000000000001</v>
      </c>
      <c r="E78">
        <v>1.1000000000000001</v>
      </c>
      <c r="F78">
        <v>1.101</v>
      </c>
      <c r="G78">
        <v>1.081</v>
      </c>
      <c r="H78">
        <v>0.91900000000000004</v>
      </c>
      <c r="I78">
        <v>0.93300000000000005</v>
      </c>
      <c r="J78">
        <v>0.94599999999999995</v>
      </c>
      <c r="K78">
        <v>3.5000000000000003E-2</v>
      </c>
      <c r="L78">
        <v>3.2000000000000001E-2</v>
      </c>
      <c r="M78">
        <v>3.5000000000000003E-2</v>
      </c>
      <c r="N78">
        <v>600</v>
      </c>
    </row>
    <row r="79" spans="1:14" x14ac:dyDescent="0.2">
      <c r="B79">
        <v>246</v>
      </c>
      <c r="C79">
        <v>249</v>
      </c>
      <c r="D79">
        <v>249</v>
      </c>
      <c r="E79">
        <v>314</v>
      </c>
      <c r="F79">
        <v>316</v>
      </c>
      <c r="G79">
        <v>319</v>
      </c>
      <c r="H79">
        <v>222</v>
      </c>
      <c r="I79">
        <v>229</v>
      </c>
      <c r="J79">
        <v>229</v>
      </c>
      <c r="K79">
        <v>28</v>
      </c>
      <c r="L79">
        <v>28</v>
      </c>
      <c r="M79">
        <v>28</v>
      </c>
      <c r="N79" t="s">
        <v>39</v>
      </c>
    </row>
    <row r="80" spans="1:14" x14ac:dyDescent="0.2">
      <c r="B80">
        <v>21776</v>
      </c>
      <c r="C80">
        <v>22497</v>
      </c>
      <c r="D80">
        <v>22145</v>
      </c>
      <c r="E80">
        <v>21581</v>
      </c>
      <c r="F80">
        <v>21739</v>
      </c>
      <c r="G80">
        <v>21388</v>
      </c>
      <c r="H80">
        <v>6196</v>
      </c>
      <c r="I80">
        <v>6272</v>
      </c>
      <c r="J80">
        <v>7037</v>
      </c>
      <c r="K80">
        <v>46</v>
      </c>
      <c r="L80">
        <v>49</v>
      </c>
      <c r="M80">
        <v>50</v>
      </c>
      <c r="N80" t="s">
        <v>40</v>
      </c>
    </row>
    <row r="81" spans="1:14" x14ac:dyDescent="0.2">
      <c r="B81">
        <v>20693.719000000001</v>
      </c>
      <c r="C81">
        <v>20448.099999999999</v>
      </c>
      <c r="D81">
        <v>20236.681</v>
      </c>
      <c r="E81">
        <v>19622.659</v>
      </c>
      <c r="F81">
        <v>19737.607</v>
      </c>
      <c r="G81">
        <v>19792.707999999999</v>
      </c>
      <c r="H81">
        <v>6743.5789999999997</v>
      </c>
      <c r="I81">
        <v>6721.68</v>
      </c>
      <c r="J81">
        <v>7439.4759999999997</v>
      </c>
      <c r="K81">
        <v>1295.7750000000001</v>
      </c>
      <c r="L81">
        <v>1512.346</v>
      </c>
      <c r="M81">
        <v>1436.7819999999999</v>
      </c>
      <c r="N81" t="s">
        <v>41</v>
      </c>
    </row>
    <row r="82" spans="1:14" x14ac:dyDescent="0.2">
      <c r="A82" t="s">
        <v>48</v>
      </c>
      <c r="B82">
        <v>1.0649999999999999</v>
      </c>
      <c r="C82">
        <v>1.075</v>
      </c>
      <c r="D82">
        <v>1.077</v>
      </c>
      <c r="E82">
        <v>1.081</v>
      </c>
      <c r="F82">
        <v>1.0940000000000001</v>
      </c>
      <c r="G82">
        <v>1.0900000000000001</v>
      </c>
      <c r="H82">
        <v>0.94499999999999995</v>
      </c>
      <c r="I82">
        <v>0.93100000000000005</v>
      </c>
      <c r="J82">
        <v>0.94599999999999995</v>
      </c>
      <c r="K82">
        <v>3.9E-2</v>
      </c>
      <c r="L82">
        <v>3.4000000000000002E-2</v>
      </c>
      <c r="M82">
        <v>3.5999999999999997E-2</v>
      </c>
      <c r="N82">
        <v>600</v>
      </c>
    </row>
    <row r="83" spans="1:14" x14ac:dyDescent="0.2">
      <c r="B83">
        <v>273</v>
      </c>
      <c r="C83">
        <v>269</v>
      </c>
      <c r="D83">
        <v>274</v>
      </c>
      <c r="E83">
        <v>344</v>
      </c>
      <c r="F83">
        <v>347</v>
      </c>
      <c r="G83">
        <v>361</v>
      </c>
      <c r="H83">
        <v>241</v>
      </c>
      <c r="I83">
        <v>241</v>
      </c>
      <c r="J83">
        <v>246</v>
      </c>
      <c r="K83">
        <v>27</v>
      </c>
      <c r="L83">
        <v>30</v>
      </c>
      <c r="M83">
        <v>31</v>
      </c>
      <c r="N83" t="s">
        <v>39</v>
      </c>
    </row>
    <row r="84" spans="1:14" x14ac:dyDescent="0.2">
      <c r="B84">
        <v>22078</v>
      </c>
      <c r="C84">
        <v>21850</v>
      </c>
      <c r="D84">
        <v>22036</v>
      </c>
      <c r="E84">
        <v>21850</v>
      </c>
      <c r="F84">
        <v>22089</v>
      </c>
      <c r="G84">
        <v>22077</v>
      </c>
      <c r="H84">
        <v>6444</v>
      </c>
      <c r="I84">
        <v>6325</v>
      </c>
      <c r="J84">
        <v>7020</v>
      </c>
      <c r="K84">
        <v>50</v>
      </c>
      <c r="L84">
        <v>47</v>
      </c>
      <c r="M84">
        <v>49</v>
      </c>
      <c r="N84" t="s">
        <v>40</v>
      </c>
    </row>
    <row r="85" spans="1:14" x14ac:dyDescent="0.2">
      <c r="B85">
        <v>20738.305</v>
      </c>
      <c r="C85">
        <v>20321.800999999999</v>
      </c>
      <c r="D85">
        <v>20451.044000000002</v>
      </c>
      <c r="E85">
        <v>20214.635999999999</v>
      </c>
      <c r="F85">
        <v>20198.427</v>
      </c>
      <c r="G85">
        <v>20255.987000000001</v>
      </c>
      <c r="H85">
        <v>6819.0479999999998</v>
      </c>
      <c r="I85">
        <v>6796.69</v>
      </c>
      <c r="J85">
        <v>7423.8580000000002</v>
      </c>
      <c r="K85">
        <v>1269.0360000000001</v>
      </c>
      <c r="L85">
        <v>1366.279</v>
      </c>
      <c r="M85">
        <v>1346.154</v>
      </c>
      <c r="N85" t="s">
        <v>41</v>
      </c>
    </row>
    <row r="86" spans="1:14" x14ac:dyDescent="0.2">
      <c r="A86" t="s">
        <v>50</v>
      </c>
    </row>
    <row r="87" spans="1:14" x14ac:dyDescent="0.2">
      <c r="B87">
        <v>20476.100999999999</v>
      </c>
      <c r="C87">
        <v>20273.986000000001</v>
      </c>
      <c r="D87">
        <v>20098.437999999998</v>
      </c>
      <c r="E87">
        <v>20568.099999999999</v>
      </c>
      <c r="F87">
        <v>20487.267</v>
      </c>
      <c r="G87">
        <v>20395.646000000001</v>
      </c>
      <c r="H87">
        <v>7297.1549999999997</v>
      </c>
      <c r="I87">
        <v>7168.5640000000003</v>
      </c>
      <c r="J87">
        <v>7740.9669999999996</v>
      </c>
      <c r="K87">
        <v>1286.8630000000001</v>
      </c>
      <c r="L87">
        <v>1385.0419999999999</v>
      </c>
      <c r="M87">
        <v>1452.991</v>
      </c>
      <c r="N87" t="s">
        <v>41</v>
      </c>
    </row>
    <row r="88" spans="1:14" x14ac:dyDescent="0.2">
      <c r="B88">
        <v>20232.367999999999</v>
      </c>
      <c r="C88">
        <v>19769.584999999999</v>
      </c>
      <c r="D88">
        <v>19786.884999999998</v>
      </c>
      <c r="E88">
        <v>20053.286</v>
      </c>
      <c r="F88">
        <v>19881.89</v>
      </c>
      <c r="G88">
        <v>20081.644</v>
      </c>
      <c r="H88">
        <v>7168.3459999999995</v>
      </c>
      <c r="I88">
        <v>7146.308</v>
      </c>
      <c r="J88">
        <v>7667.2510000000002</v>
      </c>
      <c r="K88">
        <v>1358.6959999999999</v>
      </c>
      <c r="L88">
        <v>1507.2460000000001</v>
      </c>
      <c r="M88">
        <v>1324.3240000000001</v>
      </c>
      <c r="N88" t="s">
        <v>41</v>
      </c>
    </row>
    <row r="89" spans="1:14" x14ac:dyDescent="0.2">
      <c r="B89">
        <v>20014.341</v>
      </c>
      <c r="C89">
        <v>19824.53</v>
      </c>
      <c r="D89">
        <v>19527.98</v>
      </c>
      <c r="E89">
        <v>19701.707999999999</v>
      </c>
      <c r="F89">
        <v>19820.385999999999</v>
      </c>
      <c r="G89">
        <v>19881.385999999999</v>
      </c>
      <c r="H89">
        <v>6832.9179999999997</v>
      </c>
      <c r="I89">
        <v>6932.9269999999997</v>
      </c>
      <c r="J89">
        <v>7478.6589999999997</v>
      </c>
      <c r="K89">
        <v>1400.56</v>
      </c>
      <c r="L89">
        <v>1348.3150000000001</v>
      </c>
      <c r="M89">
        <v>1367.521</v>
      </c>
      <c r="N89" t="s">
        <v>41</v>
      </c>
    </row>
    <row r="90" spans="1:14" x14ac:dyDescent="0.2">
      <c r="B90">
        <v>20260.503000000001</v>
      </c>
      <c r="C90">
        <v>20096.478999999999</v>
      </c>
      <c r="D90">
        <v>19847.853999999999</v>
      </c>
      <c r="E90">
        <v>19782.091</v>
      </c>
      <c r="F90">
        <v>19603.471000000001</v>
      </c>
      <c r="G90">
        <v>19901.731</v>
      </c>
      <c r="H90">
        <v>6826.933</v>
      </c>
      <c r="I90">
        <v>6736.8419999999996</v>
      </c>
      <c r="J90">
        <v>7203.5680000000002</v>
      </c>
      <c r="K90">
        <v>1440.443</v>
      </c>
      <c r="L90">
        <v>1526.9459999999999</v>
      </c>
      <c r="M90">
        <v>1327.684</v>
      </c>
      <c r="N90" t="s">
        <v>41</v>
      </c>
    </row>
    <row r="91" spans="1:14" x14ac:dyDescent="0.2">
      <c r="B91">
        <v>20248.103999999999</v>
      </c>
      <c r="C91">
        <v>19847.266</v>
      </c>
      <c r="D91">
        <v>19665.760999999999</v>
      </c>
      <c r="E91">
        <v>19795.755000000001</v>
      </c>
      <c r="F91">
        <v>19817.939999999999</v>
      </c>
      <c r="G91">
        <v>20121.327000000001</v>
      </c>
      <c r="H91">
        <v>6890.1610000000001</v>
      </c>
      <c r="I91">
        <v>6639.4390000000003</v>
      </c>
      <c r="J91">
        <v>7368.6350000000002</v>
      </c>
      <c r="K91">
        <v>1396.6479999999999</v>
      </c>
      <c r="L91">
        <v>1492.537</v>
      </c>
      <c r="M91">
        <v>1385.0419999999999</v>
      </c>
      <c r="N91" t="s">
        <v>41</v>
      </c>
    </row>
    <row r="92" spans="1:14" x14ac:dyDescent="0.2">
      <c r="B92">
        <v>20100.362000000001</v>
      </c>
      <c r="C92">
        <v>19813.297999999999</v>
      </c>
      <c r="D92">
        <v>19544.038</v>
      </c>
      <c r="E92">
        <v>19598.688999999998</v>
      </c>
      <c r="F92">
        <v>19826.844000000001</v>
      </c>
      <c r="G92">
        <v>19678.255000000001</v>
      </c>
      <c r="H92">
        <v>6734.9459999999999</v>
      </c>
      <c r="I92">
        <v>6755.11</v>
      </c>
      <c r="J92">
        <v>7417.3530000000001</v>
      </c>
      <c r="K92">
        <v>1424.6579999999999</v>
      </c>
      <c r="L92">
        <v>1491.2280000000001</v>
      </c>
      <c r="M92">
        <v>1387.2829999999999</v>
      </c>
      <c r="N92" t="s">
        <v>41</v>
      </c>
    </row>
    <row r="93" spans="1:14" x14ac:dyDescent="0.2">
      <c r="B93">
        <v>20693.719000000001</v>
      </c>
      <c r="C93">
        <v>20448.099999999999</v>
      </c>
      <c r="D93">
        <v>20236.681</v>
      </c>
      <c r="E93">
        <v>19622.659</v>
      </c>
      <c r="F93">
        <v>19737.607</v>
      </c>
      <c r="G93">
        <v>19792.707999999999</v>
      </c>
      <c r="H93">
        <v>6743.5789999999997</v>
      </c>
      <c r="I93">
        <v>6721.68</v>
      </c>
      <c r="J93">
        <v>7439.4759999999997</v>
      </c>
      <c r="K93">
        <v>1295.7750000000001</v>
      </c>
      <c r="L93">
        <v>1512.346</v>
      </c>
      <c r="M93">
        <v>1436.7819999999999</v>
      </c>
      <c r="N93" t="s">
        <v>41</v>
      </c>
    </row>
    <row r="94" spans="1:14" x14ac:dyDescent="0.2">
      <c r="B94">
        <v>20738.305</v>
      </c>
      <c r="C94">
        <v>20321.800999999999</v>
      </c>
      <c r="D94">
        <v>20451.044000000002</v>
      </c>
      <c r="E94">
        <v>20214.635999999999</v>
      </c>
      <c r="F94">
        <v>20198.427</v>
      </c>
      <c r="G94">
        <v>20255.987000000001</v>
      </c>
      <c r="H94">
        <v>6819.0479999999998</v>
      </c>
      <c r="I94">
        <v>6796.69</v>
      </c>
      <c r="J94">
        <v>7423.8580000000002</v>
      </c>
      <c r="K94">
        <v>1269.0360000000001</v>
      </c>
      <c r="L94">
        <v>1366.279</v>
      </c>
      <c r="M94">
        <v>1346.154</v>
      </c>
      <c r="N94" t="s">
        <v>41</v>
      </c>
    </row>
    <row r="95" spans="1:14" x14ac:dyDescent="0.2">
      <c r="A95" t="s">
        <v>49</v>
      </c>
    </row>
    <row r="96" spans="1:14" x14ac:dyDescent="0.2">
      <c r="B96">
        <v>12969.865</v>
      </c>
      <c r="C96">
        <v>12917.083000000001</v>
      </c>
      <c r="D96">
        <v>12973.132</v>
      </c>
      <c r="E96">
        <v>16632.73</v>
      </c>
      <c r="F96">
        <v>16394.642</v>
      </c>
      <c r="G96">
        <v>16483.151000000002</v>
      </c>
      <c r="H96">
        <v>14046.444</v>
      </c>
      <c r="I96">
        <v>14042.406999999999</v>
      </c>
      <c r="J96">
        <v>14282.165999999999</v>
      </c>
      <c r="K96">
        <v>16465.309000000001</v>
      </c>
      <c r="L96">
        <v>16533.562999999998</v>
      </c>
      <c r="M96">
        <v>16462.105</v>
      </c>
      <c r="N96" t="s">
        <v>41</v>
      </c>
    </row>
    <row r="97" spans="1:14" x14ac:dyDescent="0.2">
      <c r="B97">
        <v>12769.484</v>
      </c>
      <c r="C97">
        <v>12573.093999999999</v>
      </c>
      <c r="D97">
        <v>12697.249</v>
      </c>
      <c r="E97">
        <v>15739.195</v>
      </c>
      <c r="F97">
        <v>15473.593999999999</v>
      </c>
      <c r="G97">
        <v>15845.124</v>
      </c>
      <c r="H97">
        <v>13509.572</v>
      </c>
      <c r="I97">
        <v>13770.156999999999</v>
      </c>
      <c r="J97">
        <v>13906.054</v>
      </c>
      <c r="K97">
        <v>12801.322</v>
      </c>
      <c r="L97">
        <v>12622.061</v>
      </c>
      <c r="M97">
        <v>12624.198</v>
      </c>
      <c r="N97" t="s">
        <v>41</v>
      </c>
    </row>
    <row r="98" spans="1:14" x14ac:dyDescent="0.2">
      <c r="B98">
        <v>12830.789000000001</v>
      </c>
      <c r="C98">
        <v>12738.447</v>
      </c>
      <c r="D98">
        <v>12629.450999999999</v>
      </c>
      <c r="E98">
        <v>15430.013999999999</v>
      </c>
      <c r="F98">
        <v>14956.182000000001</v>
      </c>
      <c r="G98">
        <v>15086.248</v>
      </c>
      <c r="H98">
        <v>13555.339</v>
      </c>
      <c r="I98">
        <v>13780.822</v>
      </c>
      <c r="J98">
        <v>13897.415999999999</v>
      </c>
      <c r="K98">
        <v>9566.3289999999997</v>
      </c>
      <c r="L98">
        <v>9551.6970000000001</v>
      </c>
      <c r="M98">
        <v>9562.35</v>
      </c>
      <c r="N98" t="s">
        <v>41</v>
      </c>
    </row>
    <row r="99" spans="1:14" x14ac:dyDescent="0.2">
      <c r="B99">
        <v>12926.416999999999</v>
      </c>
      <c r="C99">
        <v>12702.83</v>
      </c>
      <c r="D99">
        <v>12700.047</v>
      </c>
      <c r="E99">
        <v>13299.364</v>
      </c>
      <c r="F99">
        <v>13008.175999999999</v>
      </c>
      <c r="G99">
        <v>13189.615</v>
      </c>
      <c r="H99">
        <v>13664.950999999999</v>
      </c>
      <c r="I99">
        <v>13499.66</v>
      </c>
      <c r="J99">
        <v>13768.102000000001</v>
      </c>
      <c r="K99">
        <v>4233.75</v>
      </c>
      <c r="L99">
        <v>4259.3370000000004</v>
      </c>
      <c r="M99">
        <v>4226.165</v>
      </c>
      <c r="N99" t="s">
        <v>41</v>
      </c>
    </row>
    <row r="100" spans="1:14" x14ac:dyDescent="0.2">
      <c r="B100">
        <v>12963.173000000001</v>
      </c>
      <c r="C100">
        <v>12757.472</v>
      </c>
      <c r="D100">
        <v>12802.379000000001</v>
      </c>
      <c r="E100">
        <v>9482.5020000000004</v>
      </c>
      <c r="F100">
        <v>8889.8760000000002</v>
      </c>
      <c r="G100">
        <v>9275.2459999999992</v>
      </c>
      <c r="H100">
        <v>13619.826999999999</v>
      </c>
      <c r="I100">
        <v>13550.555</v>
      </c>
      <c r="J100">
        <v>13842.707</v>
      </c>
      <c r="K100">
        <v>2293.0079999999998</v>
      </c>
      <c r="L100">
        <v>2250.8209999999999</v>
      </c>
      <c r="M100">
        <v>2282.0540000000001</v>
      </c>
      <c r="N100" t="s">
        <v>41</v>
      </c>
    </row>
    <row r="101" spans="1:14" x14ac:dyDescent="0.2">
      <c r="B101">
        <v>13146.552</v>
      </c>
      <c r="C101">
        <v>12942.395</v>
      </c>
      <c r="D101">
        <v>12869.407999999999</v>
      </c>
      <c r="E101">
        <v>8301.7389999999996</v>
      </c>
      <c r="F101">
        <v>7900.4650000000001</v>
      </c>
      <c r="G101">
        <v>7893.6130000000003</v>
      </c>
      <c r="H101">
        <v>13586.294</v>
      </c>
      <c r="I101">
        <v>13776.977999999999</v>
      </c>
      <c r="J101">
        <v>13932.457</v>
      </c>
      <c r="K101">
        <v>2133.2910000000002</v>
      </c>
      <c r="L101">
        <v>2108.2310000000002</v>
      </c>
      <c r="M101">
        <v>2127.6129999999998</v>
      </c>
      <c r="N101" t="s">
        <v>41</v>
      </c>
    </row>
    <row r="102" spans="1:14" x14ac:dyDescent="0.2">
      <c r="B102">
        <v>13416.888000000001</v>
      </c>
      <c r="C102">
        <v>13280.428</v>
      </c>
      <c r="D102">
        <v>13196.221</v>
      </c>
      <c r="E102">
        <v>7991.8909999999996</v>
      </c>
      <c r="F102">
        <v>7398.3410000000003</v>
      </c>
      <c r="G102">
        <v>7504.451</v>
      </c>
      <c r="H102">
        <v>14085.174000000001</v>
      </c>
      <c r="I102">
        <v>14098.197</v>
      </c>
      <c r="J102">
        <v>14449.868</v>
      </c>
      <c r="K102">
        <v>2217.1350000000002</v>
      </c>
      <c r="L102">
        <v>2182.4209999999998</v>
      </c>
      <c r="M102">
        <v>2214.4630000000002</v>
      </c>
      <c r="N102" t="s">
        <v>41</v>
      </c>
    </row>
    <row r="103" spans="1:14" x14ac:dyDescent="0.2">
      <c r="B103">
        <v>13455.143</v>
      </c>
      <c r="C103">
        <v>13396.245000000001</v>
      </c>
      <c r="D103">
        <v>13322.794</v>
      </c>
      <c r="E103">
        <v>8233.8150000000005</v>
      </c>
      <c r="F103">
        <v>7646.4449999999997</v>
      </c>
      <c r="G103">
        <v>7693.6859999999997</v>
      </c>
      <c r="H103">
        <v>13944.29</v>
      </c>
      <c r="I103">
        <v>14084.896000000001</v>
      </c>
      <c r="J103">
        <v>14159.155000000001</v>
      </c>
      <c r="K103">
        <v>2421.7809999999999</v>
      </c>
      <c r="L103">
        <v>2419.645</v>
      </c>
      <c r="M103">
        <v>2427.6239999999998</v>
      </c>
      <c r="N103" t="s">
        <v>41</v>
      </c>
    </row>
    <row r="111" spans="1:14" x14ac:dyDescent="0.2">
      <c r="A111" t="s">
        <v>51</v>
      </c>
    </row>
    <row r="113" spans="2:14" x14ac:dyDescent="0.2">
      <c r="B113">
        <v>231.60900000000001</v>
      </c>
      <c r="C113">
        <v>235.32</v>
      </c>
      <c r="D113">
        <v>247.40299999999999</v>
      </c>
      <c r="E113">
        <v>198.90899999999999</v>
      </c>
      <c r="F113">
        <v>195.291</v>
      </c>
      <c r="G113">
        <v>191.55</v>
      </c>
      <c r="H113">
        <v>1388.8889999999999</v>
      </c>
      <c r="I113">
        <v>1354.4670000000001</v>
      </c>
      <c r="J113">
        <v>1368.7149999999999</v>
      </c>
      <c r="K113">
        <v>1318.681</v>
      </c>
      <c r="L113">
        <v>1370.2619999999999</v>
      </c>
      <c r="M113">
        <v>1318.681</v>
      </c>
      <c r="N113" t="s">
        <v>41</v>
      </c>
    </row>
    <row r="114" spans="2:14" x14ac:dyDescent="0.2">
      <c r="B114">
        <v>248.39400000000001</v>
      </c>
      <c r="C114">
        <v>247.46199999999999</v>
      </c>
      <c r="D114">
        <v>248.065</v>
      </c>
      <c r="E114">
        <v>294.08600000000001</v>
      </c>
      <c r="F114">
        <v>300.70400000000001</v>
      </c>
      <c r="G114">
        <v>294.80099999999999</v>
      </c>
      <c r="H114">
        <v>1353.5909999999999</v>
      </c>
      <c r="I114">
        <v>1327.913</v>
      </c>
      <c r="J114">
        <v>1315.068</v>
      </c>
      <c r="K114">
        <v>1203.2090000000001</v>
      </c>
      <c r="L114">
        <v>1335.2270000000001</v>
      </c>
      <c r="M114">
        <v>1402.9849999999999</v>
      </c>
      <c r="N114" t="s">
        <v>41</v>
      </c>
    </row>
    <row r="115" spans="2:14" x14ac:dyDescent="0.2">
      <c r="B115">
        <v>246.54599999999999</v>
      </c>
      <c r="C115">
        <v>242.88800000000001</v>
      </c>
      <c r="D115">
        <v>237.37899999999999</v>
      </c>
      <c r="E115">
        <v>475.83800000000002</v>
      </c>
      <c r="F115">
        <v>479.125</v>
      </c>
      <c r="G115">
        <v>474.483</v>
      </c>
      <c r="H115">
        <v>1318.681</v>
      </c>
      <c r="I115">
        <v>1452.991</v>
      </c>
      <c r="J115">
        <v>1335.15</v>
      </c>
      <c r="K115">
        <v>1395.3489999999999</v>
      </c>
      <c r="L115">
        <v>1420.29</v>
      </c>
      <c r="M115">
        <v>1428.5709999999999</v>
      </c>
      <c r="N115" t="s">
        <v>41</v>
      </c>
    </row>
    <row r="116" spans="2:14" x14ac:dyDescent="0.2">
      <c r="B116">
        <v>234.71100000000001</v>
      </c>
      <c r="C116">
        <v>234.84800000000001</v>
      </c>
      <c r="D116">
        <v>226.76499999999999</v>
      </c>
      <c r="E116">
        <v>1497.788</v>
      </c>
      <c r="F116">
        <v>1515.442</v>
      </c>
      <c r="G116">
        <v>1500.479</v>
      </c>
      <c r="H116">
        <v>1331.4449999999999</v>
      </c>
      <c r="I116">
        <v>1317.204</v>
      </c>
      <c r="J116">
        <v>1329.64</v>
      </c>
      <c r="K116">
        <v>1400</v>
      </c>
      <c r="L116">
        <v>1388.1020000000001</v>
      </c>
      <c r="M116">
        <v>1253.482</v>
      </c>
      <c r="N116" t="s">
        <v>41</v>
      </c>
    </row>
    <row r="117" spans="2:14" x14ac:dyDescent="0.2">
      <c r="B117">
        <v>230.88</v>
      </c>
      <c r="C117">
        <v>230.71899999999999</v>
      </c>
      <c r="D117">
        <v>227.69399999999999</v>
      </c>
      <c r="E117">
        <v>4526.78</v>
      </c>
      <c r="F117">
        <v>4642.8190000000004</v>
      </c>
      <c r="G117">
        <v>4595.2510000000002</v>
      </c>
      <c r="H117">
        <v>1416.1849999999999</v>
      </c>
      <c r="I117">
        <v>1327.684</v>
      </c>
      <c r="J117">
        <v>1363.636</v>
      </c>
      <c r="K117">
        <v>1449.2750000000001</v>
      </c>
      <c r="L117">
        <v>1559.633</v>
      </c>
      <c r="M117">
        <v>1404.4939999999999</v>
      </c>
      <c r="N117" t="s">
        <v>41</v>
      </c>
    </row>
    <row r="118" spans="2:14" x14ac:dyDescent="0.2">
      <c r="B118">
        <v>232.38</v>
      </c>
      <c r="C118">
        <v>230.48099999999999</v>
      </c>
      <c r="D118">
        <v>228.93299999999999</v>
      </c>
      <c r="E118">
        <v>6647.5730000000003</v>
      </c>
      <c r="F118">
        <v>6738.9960000000001</v>
      </c>
      <c r="G118">
        <v>6599.9579999999996</v>
      </c>
      <c r="H118">
        <v>1256.9829999999999</v>
      </c>
      <c r="I118">
        <v>1240.31</v>
      </c>
      <c r="J118">
        <v>1373.626</v>
      </c>
      <c r="K118">
        <v>1311.4749999999999</v>
      </c>
      <c r="L118">
        <v>1533.742</v>
      </c>
      <c r="M118">
        <v>1331.4449999999999</v>
      </c>
      <c r="N118" t="s">
        <v>41</v>
      </c>
    </row>
    <row r="119" spans="2:14" x14ac:dyDescent="0.2">
      <c r="B119">
        <v>242.91499999999999</v>
      </c>
      <c r="C119">
        <v>241.40700000000001</v>
      </c>
      <c r="D119">
        <v>242.42400000000001</v>
      </c>
      <c r="E119">
        <v>9346.5910000000003</v>
      </c>
      <c r="F119">
        <v>9338.8259999999991</v>
      </c>
      <c r="G119">
        <v>9268.8060000000005</v>
      </c>
      <c r="H119">
        <v>1363.636</v>
      </c>
      <c r="I119">
        <v>1307.902</v>
      </c>
      <c r="J119">
        <v>1273.713</v>
      </c>
      <c r="K119">
        <v>1300.8130000000001</v>
      </c>
      <c r="L119">
        <v>1536.145</v>
      </c>
      <c r="M119">
        <v>1395.3489999999999</v>
      </c>
      <c r="N119" t="s">
        <v>41</v>
      </c>
    </row>
    <row r="120" spans="2:14" x14ac:dyDescent="0.2">
      <c r="B120">
        <v>241.24100000000001</v>
      </c>
      <c r="C120">
        <v>243.875</v>
      </c>
      <c r="D120">
        <v>241.79400000000001</v>
      </c>
      <c r="E120">
        <v>10133.486000000001</v>
      </c>
      <c r="F120">
        <v>10338.579</v>
      </c>
      <c r="G120">
        <v>10312.004000000001</v>
      </c>
      <c r="H120">
        <v>1297.9349999999999</v>
      </c>
      <c r="I120">
        <v>1449.2750000000001</v>
      </c>
      <c r="J120">
        <v>1256.9829999999999</v>
      </c>
      <c r="K120">
        <v>1297.297</v>
      </c>
      <c r="L120">
        <v>1536.05</v>
      </c>
      <c r="M120">
        <v>1328.125</v>
      </c>
      <c r="N120" t="s">
        <v>41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T35"/>
  <sheetViews>
    <sheetView tabSelected="1" topLeftCell="K1" zoomScale="56" workbookViewId="0">
      <selection activeCell="P24" sqref="P24"/>
    </sheetView>
  </sheetViews>
  <sheetFormatPr baseColWidth="10" defaultColWidth="11" defaultRowHeight="16" x14ac:dyDescent="0.2"/>
  <sheetData>
    <row r="1" spans="1:46" x14ac:dyDescent="0.2">
      <c r="A1" t="s">
        <v>50</v>
      </c>
      <c r="Q1" t="s">
        <v>52</v>
      </c>
      <c r="R1" t="s">
        <v>53</v>
      </c>
      <c r="S1" t="s">
        <v>54</v>
      </c>
      <c r="T1" t="s">
        <v>55</v>
      </c>
      <c r="U1" t="s">
        <v>57</v>
      </c>
      <c r="V1" t="s">
        <v>56</v>
      </c>
      <c r="W1" t="s">
        <v>58</v>
      </c>
      <c r="X1" t="s">
        <v>59</v>
      </c>
      <c r="Y1" t="s">
        <v>60</v>
      </c>
      <c r="Z1" t="s">
        <v>61</v>
      </c>
      <c r="AA1" t="s">
        <v>61</v>
      </c>
      <c r="AB1" t="s">
        <v>61</v>
      </c>
      <c r="AC1" t="s">
        <v>62</v>
      </c>
      <c r="AD1" t="s">
        <v>64</v>
      </c>
      <c r="AE1" t="s">
        <v>63</v>
      </c>
      <c r="AF1" t="s">
        <v>65</v>
      </c>
      <c r="AG1" t="s">
        <v>66</v>
      </c>
      <c r="AH1" t="s">
        <v>67</v>
      </c>
      <c r="AI1" t="s">
        <v>68</v>
      </c>
      <c r="AJ1" t="s">
        <v>73</v>
      </c>
      <c r="AK1" t="s">
        <v>72</v>
      </c>
      <c r="AL1" t="s">
        <v>69</v>
      </c>
      <c r="AM1" t="s">
        <v>71</v>
      </c>
      <c r="AN1" t="s">
        <v>70</v>
      </c>
      <c r="AO1" t="s">
        <v>74</v>
      </c>
      <c r="AP1" t="s">
        <v>79</v>
      </c>
      <c r="AQ1" t="s">
        <v>78</v>
      </c>
      <c r="AR1" t="s">
        <v>75</v>
      </c>
      <c r="AS1" t="s">
        <v>77</v>
      </c>
      <c r="AT1" t="s">
        <v>76</v>
      </c>
    </row>
    <row r="2" spans="1:46" x14ac:dyDescent="0.2">
      <c r="B2">
        <v>20476.100999999999</v>
      </c>
      <c r="C2">
        <v>20273.986000000001</v>
      </c>
      <c r="D2">
        <v>20098.437999999998</v>
      </c>
      <c r="E2">
        <v>20568.099999999999</v>
      </c>
      <c r="F2">
        <v>20487.267</v>
      </c>
      <c r="G2">
        <v>20395.646000000001</v>
      </c>
      <c r="H2">
        <v>7297.1549999999997</v>
      </c>
      <c r="I2">
        <v>7168.5640000000003</v>
      </c>
      <c r="J2">
        <v>7740.9669999999996</v>
      </c>
      <c r="K2">
        <v>1286.8630000000001</v>
      </c>
      <c r="L2">
        <v>1385.0419999999999</v>
      </c>
      <c r="M2">
        <v>1452.991</v>
      </c>
      <c r="N2" t="s">
        <v>41</v>
      </c>
      <c r="Q2">
        <v>20476.100999999999</v>
      </c>
      <c r="R2">
        <v>20273.986000000001</v>
      </c>
      <c r="S2">
        <v>20098.437999999998</v>
      </c>
      <c r="T2">
        <v>20568.099999999999</v>
      </c>
      <c r="U2">
        <v>20487.267</v>
      </c>
      <c r="V2">
        <v>20395.646000000001</v>
      </c>
      <c r="W2">
        <v>7297.1549999999997</v>
      </c>
      <c r="X2">
        <v>7168.5640000000003</v>
      </c>
      <c r="Y2">
        <v>7740.9669999999996</v>
      </c>
      <c r="Z2">
        <v>1286.8630000000001</v>
      </c>
      <c r="AA2">
        <v>1385.0419999999999</v>
      </c>
      <c r="AB2">
        <v>1452.991</v>
      </c>
      <c r="AC2">
        <v>12969.865</v>
      </c>
      <c r="AD2">
        <v>12917.083000000001</v>
      </c>
      <c r="AE2">
        <v>12973.132</v>
      </c>
      <c r="AF2">
        <v>16632.73</v>
      </c>
      <c r="AG2">
        <v>16394.642</v>
      </c>
      <c r="AH2">
        <v>16483.151000000002</v>
      </c>
      <c r="AI2">
        <v>14046.444</v>
      </c>
      <c r="AJ2">
        <v>14042.406999999999</v>
      </c>
      <c r="AK2">
        <v>14282.165999999999</v>
      </c>
      <c r="AL2">
        <v>16465.309000000001</v>
      </c>
      <c r="AM2">
        <v>16533.562999999998</v>
      </c>
      <c r="AN2">
        <v>16462.105</v>
      </c>
      <c r="AO2">
        <v>231.60900000000001</v>
      </c>
      <c r="AP2">
        <v>235.32</v>
      </c>
      <c r="AQ2">
        <v>247.40299999999999</v>
      </c>
      <c r="AR2">
        <v>198.90899999999999</v>
      </c>
      <c r="AS2">
        <v>195.291</v>
      </c>
      <c r="AT2">
        <v>191.55</v>
      </c>
    </row>
    <row r="3" spans="1:46" x14ac:dyDescent="0.2">
      <c r="B3">
        <v>20232.367999999999</v>
      </c>
      <c r="C3">
        <v>19769.584999999999</v>
      </c>
      <c r="D3">
        <v>19786.884999999998</v>
      </c>
      <c r="E3">
        <v>20053.286</v>
      </c>
      <c r="F3">
        <v>19881.89</v>
      </c>
      <c r="G3">
        <v>20081.644</v>
      </c>
      <c r="H3">
        <v>7168.3459999999995</v>
      </c>
      <c r="I3">
        <v>7146.308</v>
      </c>
      <c r="J3">
        <v>7667.2510000000002</v>
      </c>
      <c r="K3">
        <v>1358.6959999999999</v>
      </c>
      <c r="L3">
        <v>1507.2460000000001</v>
      </c>
      <c r="M3">
        <v>1324.3240000000001</v>
      </c>
      <c r="N3" t="s">
        <v>41</v>
      </c>
      <c r="Q3">
        <v>20232.367999999999</v>
      </c>
      <c r="R3">
        <v>19769.584999999999</v>
      </c>
      <c r="S3">
        <v>19786.884999999998</v>
      </c>
      <c r="T3">
        <v>20053.286</v>
      </c>
      <c r="U3">
        <v>19881.89</v>
      </c>
      <c r="V3">
        <v>20081.644</v>
      </c>
      <c r="W3">
        <v>7168.3459999999995</v>
      </c>
      <c r="X3">
        <v>7146.308</v>
      </c>
      <c r="Y3">
        <v>7667.2510000000002</v>
      </c>
      <c r="Z3">
        <v>1358.6959999999999</v>
      </c>
      <c r="AA3">
        <v>1507.2460000000001</v>
      </c>
      <c r="AB3">
        <v>1324.3240000000001</v>
      </c>
      <c r="AC3">
        <v>12769.484</v>
      </c>
      <c r="AD3">
        <v>12573.093999999999</v>
      </c>
      <c r="AE3">
        <v>12697.249</v>
      </c>
      <c r="AF3">
        <v>15739.195</v>
      </c>
      <c r="AG3">
        <v>15473.593999999999</v>
      </c>
      <c r="AH3">
        <v>15845.124</v>
      </c>
      <c r="AI3">
        <v>13509.572</v>
      </c>
      <c r="AJ3">
        <v>13770.156999999999</v>
      </c>
      <c r="AK3">
        <v>13906.054</v>
      </c>
      <c r="AL3">
        <v>12801.322</v>
      </c>
      <c r="AM3">
        <v>12622.061</v>
      </c>
      <c r="AN3">
        <v>12624.198</v>
      </c>
      <c r="AO3">
        <v>248.39400000000001</v>
      </c>
      <c r="AP3">
        <v>247.46199999999999</v>
      </c>
      <c r="AQ3">
        <v>248.065</v>
      </c>
      <c r="AR3">
        <v>294.08600000000001</v>
      </c>
      <c r="AS3">
        <v>300.70400000000001</v>
      </c>
      <c r="AT3">
        <v>294.80099999999999</v>
      </c>
    </row>
    <row r="4" spans="1:46" x14ac:dyDescent="0.2">
      <c r="B4">
        <v>20014.341</v>
      </c>
      <c r="C4">
        <v>19824.53</v>
      </c>
      <c r="D4">
        <v>19527.98</v>
      </c>
      <c r="E4">
        <v>19701.707999999999</v>
      </c>
      <c r="F4">
        <v>19820.385999999999</v>
      </c>
      <c r="G4">
        <v>19881.385999999999</v>
      </c>
      <c r="H4">
        <v>6832.9179999999997</v>
      </c>
      <c r="I4">
        <v>6932.9269999999997</v>
      </c>
      <c r="J4">
        <v>7478.6589999999997</v>
      </c>
      <c r="K4">
        <v>1400.56</v>
      </c>
      <c r="L4">
        <v>1348.3150000000001</v>
      </c>
      <c r="M4">
        <v>1367.521</v>
      </c>
      <c r="N4" t="s">
        <v>41</v>
      </c>
      <c r="Q4">
        <v>20014.341</v>
      </c>
      <c r="R4">
        <v>19824.53</v>
      </c>
      <c r="S4">
        <v>19527.98</v>
      </c>
      <c r="T4">
        <v>19701.707999999999</v>
      </c>
      <c r="U4">
        <v>19820.385999999999</v>
      </c>
      <c r="V4">
        <v>19881.385999999999</v>
      </c>
      <c r="W4">
        <v>6832.9179999999997</v>
      </c>
      <c r="X4">
        <v>6932.9269999999997</v>
      </c>
      <c r="Y4">
        <v>7478.6589999999997</v>
      </c>
      <c r="Z4">
        <v>1400.56</v>
      </c>
      <c r="AA4">
        <v>1348.3150000000001</v>
      </c>
      <c r="AB4">
        <v>1367.521</v>
      </c>
      <c r="AC4">
        <v>12830.789000000001</v>
      </c>
      <c r="AD4">
        <v>12738.447</v>
      </c>
      <c r="AE4">
        <v>12629.450999999999</v>
      </c>
      <c r="AF4">
        <v>15430.013999999999</v>
      </c>
      <c r="AG4">
        <v>14956.182000000001</v>
      </c>
      <c r="AH4">
        <v>15086.248</v>
      </c>
      <c r="AI4">
        <v>13555.339</v>
      </c>
      <c r="AJ4">
        <v>13780.822</v>
      </c>
      <c r="AK4">
        <v>13897.415999999999</v>
      </c>
      <c r="AL4">
        <v>9566.3289999999997</v>
      </c>
      <c r="AM4">
        <v>9551.6970000000001</v>
      </c>
      <c r="AN4">
        <v>9562.35</v>
      </c>
      <c r="AO4">
        <v>246.54599999999999</v>
      </c>
      <c r="AP4">
        <v>242.88800000000001</v>
      </c>
      <c r="AQ4">
        <v>237.37899999999999</v>
      </c>
      <c r="AR4">
        <v>475.83800000000002</v>
      </c>
      <c r="AS4">
        <v>479.125</v>
      </c>
      <c r="AT4">
        <v>474.483</v>
      </c>
    </row>
    <row r="5" spans="1:46" x14ac:dyDescent="0.2">
      <c r="B5">
        <v>20260.503000000001</v>
      </c>
      <c r="C5">
        <v>20096.478999999999</v>
      </c>
      <c r="D5">
        <v>19847.853999999999</v>
      </c>
      <c r="E5">
        <v>19782.091</v>
      </c>
      <c r="F5">
        <v>19603.471000000001</v>
      </c>
      <c r="G5">
        <v>19901.731</v>
      </c>
      <c r="H5">
        <v>6826.933</v>
      </c>
      <c r="I5">
        <v>6736.8419999999996</v>
      </c>
      <c r="J5">
        <v>7203.5680000000002</v>
      </c>
      <c r="K5">
        <v>1440.443</v>
      </c>
      <c r="L5">
        <v>1526.9459999999999</v>
      </c>
      <c r="M5">
        <v>1327.684</v>
      </c>
      <c r="N5" t="s">
        <v>41</v>
      </c>
      <c r="Q5">
        <v>20260.503000000001</v>
      </c>
      <c r="R5">
        <v>20096.478999999999</v>
      </c>
      <c r="S5">
        <v>19847.853999999999</v>
      </c>
      <c r="T5">
        <v>19782.091</v>
      </c>
      <c r="U5">
        <v>19603.471000000001</v>
      </c>
      <c r="V5">
        <v>19901.731</v>
      </c>
      <c r="W5">
        <v>6826.933</v>
      </c>
      <c r="X5">
        <v>6736.8419999999996</v>
      </c>
      <c r="Y5">
        <v>7203.5680000000002</v>
      </c>
      <c r="Z5">
        <v>1440.443</v>
      </c>
      <c r="AA5">
        <v>1526.9459999999999</v>
      </c>
      <c r="AB5">
        <v>1327.684</v>
      </c>
      <c r="AC5">
        <v>12926.416999999999</v>
      </c>
      <c r="AD5">
        <v>12702.83</v>
      </c>
      <c r="AE5">
        <v>12700.047</v>
      </c>
      <c r="AF5">
        <v>13299.364</v>
      </c>
      <c r="AG5">
        <v>13008.175999999999</v>
      </c>
      <c r="AH5">
        <v>13189.615</v>
      </c>
      <c r="AI5">
        <v>13664.950999999999</v>
      </c>
      <c r="AJ5">
        <v>13499.66</v>
      </c>
      <c r="AK5">
        <v>13768.102000000001</v>
      </c>
      <c r="AL5">
        <v>4233.75</v>
      </c>
      <c r="AM5">
        <v>4259.3370000000004</v>
      </c>
      <c r="AN5">
        <v>4226.165</v>
      </c>
      <c r="AO5">
        <v>234.71100000000001</v>
      </c>
      <c r="AP5">
        <v>234.84800000000001</v>
      </c>
      <c r="AQ5">
        <v>226.76499999999999</v>
      </c>
      <c r="AR5">
        <v>1497.788</v>
      </c>
      <c r="AS5">
        <v>1515.442</v>
      </c>
      <c r="AT5">
        <v>1500.479</v>
      </c>
    </row>
    <row r="6" spans="1:46" x14ac:dyDescent="0.2">
      <c r="B6">
        <v>20248.103999999999</v>
      </c>
      <c r="C6">
        <v>19847.266</v>
      </c>
      <c r="D6">
        <v>19665.760999999999</v>
      </c>
      <c r="E6">
        <v>19795.755000000001</v>
      </c>
      <c r="F6">
        <v>19817.939999999999</v>
      </c>
      <c r="G6">
        <v>20121.327000000001</v>
      </c>
      <c r="H6">
        <v>6890.1610000000001</v>
      </c>
      <c r="I6">
        <v>6639.4390000000003</v>
      </c>
      <c r="J6">
        <v>7368.6350000000002</v>
      </c>
      <c r="K6">
        <v>1396.6479999999999</v>
      </c>
      <c r="L6">
        <v>1492.537</v>
      </c>
      <c r="M6">
        <v>1385.0419999999999</v>
      </c>
      <c r="N6" t="s">
        <v>41</v>
      </c>
      <c r="Q6">
        <v>20248.103999999999</v>
      </c>
      <c r="R6">
        <v>19847.266</v>
      </c>
      <c r="S6">
        <v>19665.760999999999</v>
      </c>
      <c r="T6">
        <v>19795.755000000001</v>
      </c>
      <c r="U6">
        <v>19817.939999999999</v>
      </c>
      <c r="V6">
        <v>20121.327000000001</v>
      </c>
      <c r="W6">
        <v>6890.1610000000001</v>
      </c>
      <c r="X6">
        <v>6639.4390000000003</v>
      </c>
      <c r="Y6">
        <v>7368.6350000000002</v>
      </c>
      <c r="Z6">
        <v>1396.6479999999999</v>
      </c>
      <c r="AA6">
        <v>1492.537</v>
      </c>
      <c r="AB6">
        <v>1385.0419999999999</v>
      </c>
      <c r="AC6">
        <v>12963.173000000001</v>
      </c>
      <c r="AD6">
        <v>12757.472</v>
      </c>
      <c r="AE6">
        <v>12802.379000000001</v>
      </c>
      <c r="AF6">
        <v>9482.5020000000004</v>
      </c>
      <c r="AG6">
        <v>8889.8760000000002</v>
      </c>
      <c r="AH6">
        <v>9275.2459999999992</v>
      </c>
      <c r="AI6">
        <v>13619.826999999999</v>
      </c>
      <c r="AJ6">
        <v>13550.555</v>
      </c>
      <c r="AK6">
        <v>13842.707</v>
      </c>
      <c r="AL6">
        <v>2293.0079999999998</v>
      </c>
      <c r="AM6">
        <v>2250.8209999999999</v>
      </c>
      <c r="AN6">
        <v>2282.0540000000001</v>
      </c>
      <c r="AO6">
        <v>230.88</v>
      </c>
      <c r="AP6">
        <v>230.71899999999999</v>
      </c>
      <c r="AQ6">
        <v>227.69399999999999</v>
      </c>
      <c r="AR6">
        <v>4526.78</v>
      </c>
      <c r="AS6">
        <v>4642.8190000000004</v>
      </c>
      <c r="AT6">
        <v>4595.2510000000002</v>
      </c>
    </row>
    <row r="7" spans="1:46" x14ac:dyDescent="0.2">
      <c r="B7">
        <v>20100.362000000001</v>
      </c>
      <c r="C7">
        <v>19813.297999999999</v>
      </c>
      <c r="D7">
        <v>19544.038</v>
      </c>
      <c r="E7">
        <v>19598.688999999998</v>
      </c>
      <c r="F7">
        <v>19826.844000000001</v>
      </c>
      <c r="G7">
        <v>19678.255000000001</v>
      </c>
      <c r="H7">
        <v>6734.9459999999999</v>
      </c>
      <c r="I7">
        <v>6755.11</v>
      </c>
      <c r="J7">
        <v>7417.3530000000001</v>
      </c>
      <c r="K7">
        <v>1424.6579999999999</v>
      </c>
      <c r="L7">
        <v>1491.2280000000001</v>
      </c>
      <c r="M7">
        <v>1387.2829999999999</v>
      </c>
      <c r="N7" t="s">
        <v>41</v>
      </c>
      <c r="Q7">
        <v>20100.362000000001</v>
      </c>
      <c r="R7">
        <v>19813.297999999999</v>
      </c>
      <c r="S7">
        <v>19544.038</v>
      </c>
      <c r="T7">
        <v>19598.688999999998</v>
      </c>
      <c r="U7">
        <v>19826.844000000001</v>
      </c>
      <c r="V7">
        <v>19678.255000000001</v>
      </c>
      <c r="W7">
        <v>6734.9459999999999</v>
      </c>
      <c r="X7">
        <v>6755.11</v>
      </c>
      <c r="Y7">
        <v>7417.3530000000001</v>
      </c>
      <c r="Z7">
        <v>1424.6579999999999</v>
      </c>
      <c r="AA7">
        <v>1491.2280000000001</v>
      </c>
      <c r="AB7">
        <v>1387.2829999999999</v>
      </c>
      <c r="AC7">
        <v>13146.552</v>
      </c>
      <c r="AD7">
        <v>12942.395</v>
      </c>
      <c r="AE7">
        <v>12869.407999999999</v>
      </c>
      <c r="AF7">
        <v>8301.7389999999996</v>
      </c>
      <c r="AG7">
        <v>7900.4650000000001</v>
      </c>
      <c r="AH7">
        <v>7893.6130000000003</v>
      </c>
      <c r="AI7">
        <v>13586.294</v>
      </c>
      <c r="AJ7">
        <v>13776.977999999999</v>
      </c>
      <c r="AK7">
        <v>13932.457</v>
      </c>
      <c r="AL7">
        <v>2133.2910000000002</v>
      </c>
      <c r="AM7">
        <v>2108.2310000000002</v>
      </c>
      <c r="AN7">
        <v>2127.6129999999998</v>
      </c>
      <c r="AO7">
        <v>232.38</v>
      </c>
      <c r="AP7">
        <v>230.48099999999999</v>
      </c>
      <c r="AQ7">
        <v>228.93299999999999</v>
      </c>
      <c r="AR7">
        <v>6647.5730000000003</v>
      </c>
      <c r="AS7">
        <v>6738.9960000000001</v>
      </c>
      <c r="AT7">
        <v>6599.9579999999996</v>
      </c>
    </row>
    <row r="8" spans="1:46" x14ac:dyDescent="0.2">
      <c r="B8">
        <v>20693.719000000001</v>
      </c>
      <c r="C8">
        <v>20448.099999999999</v>
      </c>
      <c r="D8">
        <v>20236.681</v>
      </c>
      <c r="E8">
        <v>19622.659</v>
      </c>
      <c r="F8">
        <v>19737.607</v>
      </c>
      <c r="G8">
        <v>19792.707999999999</v>
      </c>
      <c r="H8">
        <v>6743.5789999999997</v>
      </c>
      <c r="I8">
        <v>6721.68</v>
      </c>
      <c r="J8">
        <v>7439.4759999999997</v>
      </c>
      <c r="K8">
        <v>1295.7750000000001</v>
      </c>
      <c r="L8">
        <v>1512.346</v>
      </c>
      <c r="M8">
        <v>1436.7819999999999</v>
      </c>
      <c r="N8" t="s">
        <v>41</v>
      </c>
      <c r="Q8">
        <v>20693.719000000001</v>
      </c>
      <c r="R8">
        <v>20448.099999999999</v>
      </c>
      <c r="S8">
        <v>20236.681</v>
      </c>
      <c r="T8">
        <v>19622.659</v>
      </c>
      <c r="U8">
        <v>19737.607</v>
      </c>
      <c r="V8">
        <v>19792.707999999999</v>
      </c>
      <c r="W8">
        <v>6743.5789999999997</v>
      </c>
      <c r="X8">
        <v>6721.68</v>
      </c>
      <c r="Y8">
        <v>7439.4759999999997</v>
      </c>
      <c r="Z8">
        <v>1295.7750000000001</v>
      </c>
      <c r="AA8">
        <v>1512.346</v>
      </c>
      <c r="AB8">
        <v>1436.7819999999999</v>
      </c>
      <c r="AC8">
        <v>13416.888000000001</v>
      </c>
      <c r="AD8">
        <v>13280.428</v>
      </c>
      <c r="AE8">
        <v>13196.221</v>
      </c>
      <c r="AF8">
        <v>7991.8909999999996</v>
      </c>
      <c r="AG8">
        <v>7398.3410000000003</v>
      </c>
      <c r="AH8">
        <v>7504.451</v>
      </c>
      <c r="AI8">
        <v>14085.174000000001</v>
      </c>
      <c r="AJ8">
        <v>14098.197</v>
      </c>
      <c r="AK8">
        <v>14449.868</v>
      </c>
      <c r="AL8">
        <v>2217.1350000000002</v>
      </c>
      <c r="AM8">
        <v>2182.4209999999998</v>
      </c>
      <c r="AN8">
        <v>2214.4630000000002</v>
      </c>
      <c r="AO8">
        <v>242.91499999999999</v>
      </c>
      <c r="AP8">
        <v>241.40700000000001</v>
      </c>
      <c r="AQ8">
        <v>242.42400000000001</v>
      </c>
      <c r="AR8">
        <v>9346.5910000000003</v>
      </c>
      <c r="AS8">
        <v>9338.8259999999991</v>
      </c>
      <c r="AT8">
        <v>9268.8060000000005</v>
      </c>
    </row>
    <row r="9" spans="1:46" x14ac:dyDescent="0.2">
      <c r="B9">
        <v>20738.305</v>
      </c>
      <c r="C9">
        <v>20321.800999999999</v>
      </c>
      <c r="D9">
        <v>20451.044000000002</v>
      </c>
      <c r="E9">
        <v>20214.635999999999</v>
      </c>
      <c r="F9">
        <v>20198.427</v>
      </c>
      <c r="G9">
        <v>20255.987000000001</v>
      </c>
      <c r="H9">
        <v>6819.0479999999998</v>
      </c>
      <c r="I9">
        <v>6796.69</v>
      </c>
      <c r="J9">
        <v>7423.8580000000002</v>
      </c>
      <c r="K9">
        <v>1269.0360000000001</v>
      </c>
      <c r="L9">
        <v>1366.279</v>
      </c>
      <c r="M9">
        <v>1346.154</v>
      </c>
      <c r="N9" t="s">
        <v>41</v>
      </c>
      <c r="Q9">
        <v>20738.305</v>
      </c>
      <c r="R9">
        <v>20321.800999999999</v>
      </c>
      <c r="S9">
        <v>20451.044000000002</v>
      </c>
      <c r="T9">
        <v>20214.635999999999</v>
      </c>
      <c r="U9">
        <v>20198.427</v>
      </c>
      <c r="V9">
        <v>20255.987000000001</v>
      </c>
      <c r="W9">
        <v>6819.0479999999998</v>
      </c>
      <c r="X9">
        <v>6796.69</v>
      </c>
      <c r="Y9">
        <v>7423.8580000000002</v>
      </c>
      <c r="Z9">
        <v>1269.0360000000001</v>
      </c>
      <c r="AA9">
        <v>1366.279</v>
      </c>
      <c r="AB9">
        <v>1346.154</v>
      </c>
      <c r="AC9">
        <v>13455.143</v>
      </c>
      <c r="AD9">
        <v>13396.245000000001</v>
      </c>
      <c r="AE9">
        <v>13322.794</v>
      </c>
      <c r="AF9">
        <v>8233.8150000000005</v>
      </c>
      <c r="AG9">
        <v>7646.4449999999997</v>
      </c>
      <c r="AH9">
        <v>7693.6859999999997</v>
      </c>
      <c r="AI9">
        <v>13944.29</v>
      </c>
      <c r="AJ9">
        <v>14084.896000000001</v>
      </c>
      <c r="AK9">
        <v>14159.155000000001</v>
      </c>
      <c r="AL9">
        <v>2421.7809999999999</v>
      </c>
      <c r="AM9">
        <v>2419.645</v>
      </c>
      <c r="AN9">
        <v>2427.6239999999998</v>
      </c>
      <c r="AO9">
        <v>241.24100000000001</v>
      </c>
      <c r="AP9">
        <v>243.875</v>
      </c>
      <c r="AQ9">
        <v>241.79400000000001</v>
      </c>
      <c r="AR9">
        <v>10133.486000000001</v>
      </c>
      <c r="AS9">
        <v>10338.579</v>
      </c>
      <c r="AT9">
        <v>10312.004000000001</v>
      </c>
    </row>
    <row r="10" spans="1:46" x14ac:dyDescent="0.2">
      <c r="A10" t="s">
        <v>49</v>
      </c>
    </row>
    <row r="11" spans="1:46" x14ac:dyDescent="0.2">
      <c r="B11">
        <v>12969.865</v>
      </c>
      <c r="C11">
        <v>12917.083000000001</v>
      </c>
      <c r="D11">
        <v>12973.132</v>
      </c>
      <c r="E11">
        <v>16632.73</v>
      </c>
      <c r="F11">
        <v>16394.642</v>
      </c>
      <c r="G11">
        <v>16483.151000000002</v>
      </c>
      <c r="H11">
        <v>14046.444</v>
      </c>
      <c r="I11">
        <v>14042.406999999999</v>
      </c>
      <c r="J11">
        <v>14282.165999999999</v>
      </c>
      <c r="K11">
        <v>16465.309000000001</v>
      </c>
      <c r="L11">
        <v>16533.562999999998</v>
      </c>
      <c r="M11">
        <v>16462.105</v>
      </c>
      <c r="N11" t="s">
        <v>41</v>
      </c>
      <c r="U11" t="s">
        <v>52</v>
      </c>
      <c r="V11" t="s">
        <v>55</v>
      </c>
      <c r="W11" t="s">
        <v>58</v>
      </c>
      <c r="X11" t="s">
        <v>61</v>
      </c>
      <c r="Y11" t="s">
        <v>62</v>
      </c>
      <c r="Z11" t="s">
        <v>65</v>
      </c>
      <c r="AA11" t="s">
        <v>68</v>
      </c>
      <c r="AB11" t="s">
        <v>69</v>
      </c>
      <c r="AC11" t="s">
        <v>74</v>
      </c>
      <c r="AD11" t="s">
        <v>75</v>
      </c>
      <c r="AG11" t="s">
        <v>52</v>
      </c>
      <c r="AH11" t="s">
        <v>55</v>
      </c>
      <c r="AI11" t="s">
        <v>58</v>
      </c>
      <c r="AJ11" t="s">
        <v>61</v>
      </c>
      <c r="AK11" t="s">
        <v>62</v>
      </c>
      <c r="AL11" t="s">
        <v>65</v>
      </c>
      <c r="AM11" t="s">
        <v>68</v>
      </c>
      <c r="AN11" t="s">
        <v>69</v>
      </c>
      <c r="AO11" t="s">
        <v>74</v>
      </c>
      <c r="AP11" t="s">
        <v>75</v>
      </c>
    </row>
    <row r="12" spans="1:46" x14ac:dyDescent="0.2">
      <c r="B12">
        <v>12769.484</v>
      </c>
      <c r="C12">
        <v>12573.093999999999</v>
      </c>
      <c r="D12">
        <v>12697.249</v>
      </c>
      <c r="E12">
        <v>15739.195</v>
      </c>
      <c r="F12">
        <v>15473.593999999999</v>
      </c>
      <c r="G12">
        <v>15845.124</v>
      </c>
      <c r="H12">
        <v>13509.572</v>
      </c>
      <c r="I12">
        <v>13770.156999999999</v>
      </c>
      <c r="J12">
        <v>13906.054</v>
      </c>
      <c r="K12">
        <v>12801.322</v>
      </c>
      <c r="L12">
        <v>12622.061</v>
      </c>
      <c r="M12">
        <v>12624.198</v>
      </c>
      <c r="N12" t="s">
        <v>41</v>
      </c>
      <c r="T12">
        <v>0</v>
      </c>
      <c r="U12">
        <f>AVERAGE(Q2:S2)</f>
        <v>20282.841666666664</v>
      </c>
      <c r="V12">
        <f>AVERAGE(T2:V2)</f>
        <v>20483.670999999998</v>
      </c>
      <c r="W12">
        <f t="shared" ref="W12" si="0">AVERAGE(W2:Y2)</f>
        <v>7402.2286666666669</v>
      </c>
      <c r="X12">
        <f>AVERAGE(Z2:AB2)</f>
        <v>1374.9653333333333</v>
      </c>
      <c r="Y12">
        <f>AVERAGE(AC2:AE2)</f>
        <v>12953.36</v>
      </c>
      <c r="Z12">
        <f>AVERAGE(AF2:AH2)</f>
        <v>16503.507666666668</v>
      </c>
      <c r="AA12">
        <f>AVERAGE(AI2:AK2)</f>
        <v>14123.672333333334</v>
      </c>
      <c r="AB12">
        <f>AVERAGE(AL2:AN2)</f>
        <v>16486.992333333332</v>
      </c>
      <c r="AC12">
        <f>AVERAGE(AO2:AQ2)</f>
        <v>238.11066666666667</v>
      </c>
      <c r="AD12">
        <f>AVERAGE(AR2:AT2)</f>
        <v>195.25</v>
      </c>
      <c r="AF12">
        <v>0</v>
      </c>
      <c r="AG12">
        <f>STDEV(Q2:S2)</f>
        <v>188.9871755340383</v>
      </c>
      <c r="AH12">
        <f>STDEV(T2:V2)</f>
        <v>86.283219347679761</v>
      </c>
      <c r="AI12">
        <f>STDEV(W2:Y2)</f>
        <v>300.31925541385652</v>
      </c>
      <c r="AJ12">
        <f>STDEV(Z2:AB2)</f>
        <v>83.521150041970373</v>
      </c>
      <c r="AK12">
        <f>STDEV(AC2:AE2)</f>
        <v>31.459241392633249</v>
      </c>
      <c r="AL12">
        <f>STDEV(AF2:AH2)</f>
        <v>120.34230072727237</v>
      </c>
      <c r="AM12">
        <f>STDEV(AI2:AK2)</f>
        <v>137.27438261501422</v>
      </c>
      <c r="AN12">
        <f>STDEV(AL2:AN2)</f>
        <v>40.363184330937521</v>
      </c>
      <c r="AO12">
        <f>STDEV(AO2:AQ2)</f>
        <v>8.2585394794317732</v>
      </c>
      <c r="AP12">
        <f>STDEV(AR2:AT2)</f>
        <v>3.6796713168433848</v>
      </c>
    </row>
    <row r="13" spans="1:46" x14ac:dyDescent="0.2">
      <c r="B13">
        <v>12830.789000000001</v>
      </c>
      <c r="C13">
        <v>12738.447</v>
      </c>
      <c r="D13">
        <v>12629.450999999999</v>
      </c>
      <c r="E13">
        <v>15430.013999999999</v>
      </c>
      <c r="F13">
        <v>14956.182000000001</v>
      </c>
      <c r="G13">
        <v>15086.248</v>
      </c>
      <c r="H13">
        <v>13555.339</v>
      </c>
      <c r="I13">
        <v>13780.822</v>
      </c>
      <c r="J13">
        <v>13897.415999999999</v>
      </c>
      <c r="K13">
        <v>9566.3289999999997</v>
      </c>
      <c r="L13">
        <v>9551.6970000000001</v>
      </c>
      <c r="M13">
        <v>9562.35</v>
      </c>
      <c r="N13" t="s">
        <v>41</v>
      </c>
      <c r="T13">
        <v>2.5</v>
      </c>
      <c r="U13">
        <f t="shared" ref="U13:U19" si="1">AVERAGE(Q3:S3)</f>
        <v>19929.612666666664</v>
      </c>
      <c r="V13">
        <f t="shared" ref="V13:V19" si="2">AVERAGE(T3:V3)</f>
        <v>20005.606666666667</v>
      </c>
      <c r="W13">
        <f t="shared" ref="W13:W19" si="3">AVERAGE(W3:Y3)</f>
        <v>7327.3016666666663</v>
      </c>
      <c r="X13">
        <f t="shared" ref="X13:X19" si="4">AVERAGE(Z3:AB3)</f>
        <v>1396.7553333333333</v>
      </c>
      <c r="Y13">
        <f t="shared" ref="Y13:Y19" si="5">AVERAGE(AC3:AE3)</f>
        <v>12679.942333333334</v>
      </c>
      <c r="Z13">
        <f t="shared" ref="Z13:Z19" si="6">AVERAGE(AF3:AH3)</f>
        <v>15685.971</v>
      </c>
      <c r="AA13">
        <f t="shared" ref="AA13:AA19" si="7">AVERAGE(AI3:AK3)</f>
        <v>13728.594333333333</v>
      </c>
      <c r="AB13">
        <f t="shared" ref="AB13:AB19" si="8">AVERAGE(AL3:AN3)</f>
        <v>12682.527000000002</v>
      </c>
      <c r="AC13">
        <f t="shared" ref="AC13:AC19" si="9">AVERAGE(AO3:AQ3)</f>
        <v>247.97366666666667</v>
      </c>
      <c r="AD13">
        <f t="shared" ref="AD13:AD19" si="10">AVERAGE(AR3:AT3)</f>
        <v>296.53033333333332</v>
      </c>
      <c r="AF13">
        <v>2.5</v>
      </c>
      <c r="AG13">
        <f t="shared" ref="AG13:AG19" si="11">STDEV(Q3:S3)</f>
        <v>262.33645647590282</v>
      </c>
      <c r="AH13">
        <f t="shared" ref="AH13:AH19" si="12">STDEV(T3:V3)</f>
        <v>108.07591891505446</v>
      </c>
      <c r="AI13">
        <f t="shared" ref="AI13:AI19" si="13">STDEV(W3:Y3)</f>
        <v>294.61089641480248</v>
      </c>
      <c r="AJ13">
        <f t="shared" ref="AJ13:AJ19" si="14">STDEV(Z3:AB3)</f>
        <v>97.218821024189239</v>
      </c>
      <c r="AK13">
        <f t="shared" ref="AK13:AK19" si="15">STDEV(AC3:AE3)</f>
        <v>99.33226343103965</v>
      </c>
      <c r="AL13">
        <f t="shared" ref="AL13:AL19" si="16">STDEV(AF3:AH3)</f>
        <v>191.39809522824444</v>
      </c>
      <c r="AM13">
        <f t="shared" ref="AM13:AM19" si="17">STDEV(AI3:AK3)</f>
        <v>201.48222136539317</v>
      </c>
      <c r="AN13">
        <f t="shared" ref="AN13:AN19" si="18">STDEV(AL3:AN3)</f>
        <v>102.88503638041838</v>
      </c>
      <c r="AO13">
        <f t="shared" ref="AO13:AO19" si="19">STDEV(AO3:AQ3)</f>
        <v>0.47266513869053323</v>
      </c>
      <c r="AP13">
        <f t="shared" ref="AP13:AP19" si="20">STDEV(AR3:AT3)</f>
        <v>3.6321379837959564</v>
      </c>
    </row>
    <row r="14" spans="1:46" x14ac:dyDescent="0.2">
      <c r="B14">
        <v>12926.416999999999</v>
      </c>
      <c r="C14">
        <v>12702.83</v>
      </c>
      <c r="D14">
        <v>12700.047</v>
      </c>
      <c r="E14">
        <v>13299.364</v>
      </c>
      <c r="F14">
        <v>13008.175999999999</v>
      </c>
      <c r="G14">
        <v>13189.615</v>
      </c>
      <c r="H14">
        <v>13664.950999999999</v>
      </c>
      <c r="I14">
        <v>13499.66</v>
      </c>
      <c r="J14">
        <v>13768.102000000001</v>
      </c>
      <c r="K14">
        <v>4233.75</v>
      </c>
      <c r="L14">
        <v>4259.3370000000004</v>
      </c>
      <c r="M14">
        <v>4226.165</v>
      </c>
      <c r="N14" t="s">
        <v>41</v>
      </c>
      <c r="T14">
        <v>5</v>
      </c>
      <c r="U14">
        <f t="shared" si="1"/>
        <v>19788.95033333333</v>
      </c>
      <c r="V14">
        <f t="shared" si="2"/>
        <v>19801.16</v>
      </c>
      <c r="W14">
        <f t="shared" si="3"/>
        <v>7081.5013333333336</v>
      </c>
      <c r="X14">
        <f t="shared" si="4"/>
        <v>1372.1319999999998</v>
      </c>
      <c r="Y14">
        <f t="shared" si="5"/>
        <v>12732.895666666665</v>
      </c>
      <c r="Z14">
        <f t="shared" si="6"/>
        <v>15157.481333333335</v>
      </c>
      <c r="AA14">
        <f t="shared" si="7"/>
        <v>13744.525666666666</v>
      </c>
      <c r="AB14">
        <f t="shared" si="8"/>
        <v>9560.1253333333316</v>
      </c>
      <c r="AC14">
        <f t="shared" si="9"/>
        <v>242.27099999999999</v>
      </c>
      <c r="AD14">
        <f t="shared" si="10"/>
        <v>476.48199999999997</v>
      </c>
      <c r="AF14">
        <v>5</v>
      </c>
      <c r="AG14">
        <f t="shared" si="11"/>
        <v>245.12484592618</v>
      </c>
      <c r="AH14">
        <f t="shared" si="12"/>
        <v>91.36889639259077</v>
      </c>
      <c r="AI14">
        <f t="shared" si="13"/>
        <v>347.56453956687432</v>
      </c>
      <c r="AJ14">
        <f t="shared" si="14"/>
        <v>26.425953095394636</v>
      </c>
      <c r="AK14">
        <f t="shared" si="15"/>
        <v>100.78373151125875</v>
      </c>
      <c r="AL14">
        <f t="shared" si="16"/>
        <v>244.81591428935542</v>
      </c>
      <c r="AM14">
        <f t="shared" si="17"/>
        <v>173.90295093049235</v>
      </c>
      <c r="AN14">
        <f t="shared" si="18"/>
        <v>7.5654287607069204</v>
      </c>
      <c r="AO14">
        <f t="shared" si="19"/>
        <v>4.6145410389333428</v>
      </c>
      <c r="AP14">
        <f t="shared" si="20"/>
        <v>2.3870678666514653</v>
      </c>
    </row>
    <row r="15" spans="1:46" x14ac:dyDescent="0.2">
      <c r="B15">
        <v>12963.173000000001</v>
      </c>
      <c r="C15">
        <v>12757.472</v>
      </c>
      <c r="D15">
        <v>12802.379000000001</v>
      </c>
      <c r="E15">
        <v>9482.5020000000004</v>
      </c>
      <c r="F15">
        <v>8889.8760000000002</v>
      </c>
      <c r="G15">
        <v>9275.2459999999992</v>
      </c>
      <c r="H15">
        <v>13619.826999999999</v>
      </c>
      <c r="I15">
        <v>13550.555</v>
      </c>
      <c r="J15">
        <v>13842.707</v>
      </c>
      <c r="K15">
        <v>2293.0079999999998</v>
      </c>
      <c r="L15">
        <v>2250.8209999999999</v>
      </c>
      <c r="M15">
        <v>2282.0540000000001</v>
      </c>
      <c r="N15" t="s">
        <v>41</v>
      </c>
      <c r="T15">
        <v>10</v>
      </c>
      <c r="U15">
        <f t="shared" si="1"/>
        <v>20068.278666666669</v>
      </c>
      <c r="V15">
        <f t="shared" si="2"/>
        <v>19762.431</v>
      </c>
      <c r="W15">
        <f t="shared" si="3"/>
        <v>6922.4476666666669</v>
      </c>
      <c r="X15">
        <f t="shared" si="4"/>
        <v>1431.691</v>
      </c>
      <c r="Y15">
        <f t="shared" si="5"/>
        <v>12776.431333333334</v>
      </c>
      <c r="Z15">
        <f t="shared" si="6"/>
        <v>13165.718333333332</v>
      </c>
      <c r="AA15">
        <f t="shared" si="7"/>
        <v>13644.237666666666</v>
      </c>
      <c r="AB15">
        <f t="shared" si="8"/>
        <v>4239.7506666666668</v>
      </c>
      <c r="AC15">
        <f t="shared" si="9"/>
        <v>232.10800000000003</v>
      </c>
      <c r="AD15">
        <f t="shared" si="10"/>
        <v>1504.5696666666665</v>
      </c>
      <c r="AF15">
        <v>10</v>
      </c>
      <c r="AG15">
        <f t="shared" si="11"/>
        <v>207.76487528052851</v>
      </c>
      <c r="AH15">
        <f t="shared" si="12"/>
        <v>150.09877947538334</v>
      </c>
      <c r="AI15">
        <f t="shared" si="13"/>
        <v>247.58953618909959</v>
      </c>
      <c r="AJ15">
        <f t="shared" si="14"/>
        <v>99.918888549663095</v>
      </c>
      <c r="AK15">
        <f t="shared" si="15"/>
        <v>129.89885075062529</v>
      </c>
      <c r="AL15">
        <f t="shared" si="16"/>
        <v>147.05747462925288</v>
      </c>
      <c r="AM15">
        <f t="shared" si="17"/>
        <v>135.41439537336285</v>
      </c>
      <c r="AN15">
        <f t="shared" si="18"/>
        <v>17.381064303814728</v>
      </c>
      <c r="AO15">
        <f t="shared" si="19"/>
        <v>4.6276807366109587</v>
      </c>
      <c r="AP15">
        <f t="shared" si="20"/>
        <v>9.5113665860029375</v>
      </c>
    </row>
    <row r="16" spans="1:46" x14ac:dyDescent="0.2">
      <c r="B16">
        <v>13146.552</v>
      </c>
      <c r="C16">
        <v>12942.395</v>
      </c>
      <c r="D16">
        <v>12869.407999999999</v>
      </c>
      <c r="E16">
        <v>8301.7389999999996</v>
      </c>
      <c r="F16">
        <v>7900.4650000000001</v>
      </c>
      <c r="G16">
        <v>7893.6130000000003</v>
      </c>
      <c r="H16">
        <v>13586.294</v>
      </c>
      <c r="I16">
        <v>13776.977999999999</v>
      </c>
      <c r="J16">
        <v>13932.457</v>
      </c>
      <c r="K16">
        <v>2133.2910000000002</v>
      </c>
      <c r="L16">
        <v>2108.2310000000002</v>
      </c>
      <c r="M16">
        <v>2127.6129999999998</v>
      </c>
      <c r="N16" t="s">
        <v>41</v>
      </c>
      <c r="T16">
        <v>20</v>
      </c>
      <c r="U16">
        <f t="shared" si="1"/>
        <v>19920.376999999997</v>
      </c>
      <c r="V16">
        <f t="shared" si="2"/>
        <v>19911.673999999999</v>
      </c>
      <c r="W16">
        <f t="shared" si="3"/>
        <v>6966.0783333333338</v>
      </c>
      <c r="X16">
        <f t="shared" si="4"/>
        <v>1424.7423333333334</v>
      </c>
      <c r="Y16">
        <f t="shared" si="5"/>
        <v>12841.008000000002</v>
      </c>
      <c r="Z16">
        <f t="shared" si="6"/>
        <v>9215.8746666666666</v>
      </c>
      <c r="AA16">
        <f t="shared" si="7"/>
        <v>13671.029666666667</v>
      </c>
      <c r="AB16">
        <f t="shared" si="8"/>
        <v>2275.2943333333333</v>
      </c>
      <c r="AC16">
        <f t="shared" si="9"/>
        <v>229.76433333333333</v>
      </c>
      <c r="AD16">
        <f t="shared" si="10"/>
        <v>4588.2833333333338</v>
      </c>
      <c r="AF16">
        <v>20</v>
      </c>
      <c r="AG16">
        <f t="shared" si="11"/>
        <v>297.97609996944414</v>
      </c>
      <c r="AH16">
        <f t="shared" si="12"/>
        <v>181.90335033473198</v>
      </c>
      <c r="AI16">
        <f t="shared" si="13"/>
        <v>370.47845109983564</v>
      </c>
      <c r="AJ16">
        <f t="shared" si="14"/>
        <v>58.997986663388282</v>
      </c>
      <c r="AK16">
        <f t="shared" si="15"/>
        <v>108.15440389091918</v>
      </c>
      <c r="AL16">
        <f t="shared" si="16"/>
        <v>300.74093566611998</v>
      </c>
      <c r="AM16">
        <f t="shared" si="17"/>
        <v>152.6580577019549</v>
      </c>
      <c r="AN16">
        <f t="shared" si="18"/>
        <v>21.890764315878346</v>
      </c>
      <c r="AO16">
        <f t="shared" si="19"/>
        <v>1.7947674872621653</v>
      </c>
      <c r="AP16">
        <f t="shared" si="20"/>
        <v>58.332440925555076</v>
      </c>
    </row>
    <row r="17" spans="1:42" x14ac:dyDescent="0.2">
      <c r="B17">
        <v>13416.888000000001</v>
      </c>
      <c r="C17">
        <v>13280.428</v>
      </c>
      <c r="D17">
        <v>13196.221</v>
      </c>
      <c r="E17">
        <v>7991.8909999999996</v>
      </c>
      <c r="F17">
        <v>7398.3410000000003</v>
      </c>
      <c r="G17">
        <v>7504.451</v>
      </c>
      <c r="H17">
        <v>14085.174000000001</v>
      </c>
      <c r="I17">
        <v>14098.197</v>
      </c>
      <c r="J17">
        <v>14449.868</v>
      </c>
      <c r="K17">
        <v>2217.1350000000002</v>
      </c>
      <c r="L17">
        <v>2182.4209999999998</v>
      </c>
      <c r="M17">
        <v>2214.4630000000002</v>
      </c>
      <c r="N17" t="s">
        <v>41</v>
      </c>
      <c r="T17">
        <v>40</v>
      </c>
      <c r="U17">
        <f t="shared" si="1"/>
        <v>19819.232666666667</v>
      </c>
      <c r="V17">
        <f t="shared" si="2"/>
        <v>19701.262666666666</v>
      </c>
      <c r="W17">
        <f t="shared" si="3"/>
        <v>6969.1363333333329</v>
      </c>
      <c r="X17">
        <f t="shared" si="4"/>
        <v>1434.3896666666667</v>
      </c>
      <c r="Y17">
        <f t="shared" si="5"/>
        <v>12986.118333333332</v>
      </c>
      <c r="Z17">
        <f t="shared" si="6"/>
        <v>8031.9389999999994</v>
      </c>
      <c r="AA17">
        <f t="shared" si="7"/>
        <v>13765.243</v>
      </c>
      <c r="AB17">
        <f t="shared" si="8"/>
        <v>2123.0450000000001</v>
      </c>
      <c r="AC17">
        <f t="shared" si="9"/>
        <v>230.59799999999998</v>
      </c>
      <c r="AD17">
        <f t="shared" si="10"/>
        <v>6662.1756666666661</v>
      </c>
      <c r="AF17">
        <v>40</v>
      </c>
      <c r="AG17">
        <f t="shared" si="11"/>
        <v>278.20947763391075</v>
      </c>
      <c r="AH17">
        <f t="shared" si="12"/>
        <v>115.80453596614247</v>
      </c>
      <c r="AI17">
        <f t="shared" si="13"/>
        <v>388.29792934335029</v>
      </c>
      <c r="AJ17">
        <f t="shared" si="14"/>
        <v>52.651398446131921</v>
      </c>
      <c r="AK17">
        <f t="shared" si="15"/>
        <v>143.65234628203373</v>
      </c>
      <c r="AL17">
        <f t="shared" si="16"/>
        <v>233.67876984441659</v>
      </c>
      <c r="AM17">
        <f t="shared" si="17"/>
        <v>173.37960754079492</v>
      </c>
      <c r="AN17">
        <f t="shared" si="18"/>
        <v>13.139667727914494</v>
      </c>
      <c r="AO17">
        <f t="shared" si="19"/>
        <v>1.7264758903616362</v>
      </c>
      <c r="AP17">
        <f t="shared" si="20"/>
        <v>70.65988795868104</v>
      </c>
    </row>
    <row r="18" spans="1:42" x14ac:dyDescent="0.2">
      <c r="B18">
        <v>13455.143</v>
      </c>
      <c r="C18">
        <v>13396.245000000001</v>
      </c>
      <c r="D18">
        <v>13322.794</v>
      </c>
      <c r="E18">
        <v>8233.8150000000005</v>
      </c>
      <c r="F18">
        <v>7646.4449999999997</v>
      </c>
      <c r="G18">
        <v>7693.6859999999997</v>
      </c>
      <c r="H18">
        <v>13944.29</v>
      </c>
      <c r="I18">
        <v>14084.896000000001</v>
      </c>
      <c r="J18">
        <v>14159.155000000001</v>
      </c>
      <c r="K18">
        <v>2421.7809999999999</v>
      </c>
      <c r="L18">
        <v>2419.645</v>
      </c>
      <c r="M18">
        <v>2427.6239999999998</v>
      </c>
      <c r="N18" t="s">
        <v>41</v>
      </c>
      <c r="T18">
        <v>80</v>
      </c>
      <c r="U18">
        <f t="shared" si="1"/>
        <v>20459.5</v>
      </c>
      <c r="V18">
        <f t="shared" si="2"/>
        <v>19717.657999999999</v>
      </c>
      <c r="W18">
        <f t="shared" si="3"/>
        <v>6968.2449999999999</v>
      </c>
      <c r="X18">
        <f t="shared" si="4"/>
        <v>1414.9676666666667</v>
      </c>
      <c r="Y18">
        <f t="shared" si="5"/>
        <v>13297.845666666666</v>
      </c>
      <c r="Z18">
        <f t="shared" si="6"/>
        <v>7631.5610000000006</v>
      </c>
      <c r="AA18">
        <f t="shared" si="7"/>
        <v>14211.079666666667</v>
      </c>
      <c r="AB18">
        <f t="shared" si="8"/>
        <v>2204.6730000000002</v>
      </c>
      <c r="AC18">
        <f t="shared" si="9"/>
        <v>242.24866666666665</v>
      </c>
      <c r="AD18">
        <f t="shared" si="10"/>
        <v>9318.0743333333339</v>
      </c>
      <c r="AF18">
        <v>80</v>
      </c>
      <c r="AG18">
        <f t="shared" si="11"/>
        <v>228.73216512113055</v>
      </c>
      <c r="AH18">
        <f t="shared" si="12"/>
        <v>86.761959123799969</v>
      </c>
      <c r="AI18">
        <f t="shared" si="13"/>
        <v>408.24488125511118</v>
      </c>
      <c r="AJ18">
        <f t="shared" si="14"/>
        <v>109.92110063283265</v>
      </c>
      <c r="AK18">
        <f t="shared" si="15"/>
        <v>111.35983367594207</v>
      </c>
      <c r="AL18">
        <f t="shared" si="16"/>
        <v>316.53295989517392</v>
      </c>
      <c r="AM18">
        <f t="shared" si="17"/>
        <v>206.8992526190786</v>
      </c>
      <c r="AN18">
        <f t="shared" si="18"/>
        <v>19.317052673739038</v>
      </c>
      <c r="AO18">
        <f t="shared" si="19"/>
        <v>0.76913739561493177</v>
      </c>
      <c r="AP18">
        <f t="shared" si="20"/>
        <v>42.84390631505606</v>
      </c>
    </row>
    <row r="19" spans="1:42" x14ac:dyDescent="0.2">
      <c r="T19">
        <v>200</v>
      </c>
      <c r="U19">
        <f t="shared" si="1"/>
        <v>20503.716666666667</v>
      </c>
      <c r="V19">
        <f t="shared" si="2"/>
        <v>20223.016666666666</v>
      </c>
      <c r="W19">
        <f t="shared" si="3"/>
        <v>7013.1986666666662</v>
      </c>
      <c r="X19">
        <f t="shared" si="4"/>
        <v>1327.1563333333334</v>
      </c>
      <c r="Y19">
        <f t="shared" si="5"/>
        <v>13391.394</v>
      </c>
      <c r="Z19">
        <f t="shared" si="6"/>
        <v>7857.982</v>
      </c>
      <c r="AA19">
        <f t="shared" si="7"/>
        <v>14062.780333333334</v>
      </c>
      <c r="AB19">
        <f t="shared" si="8"/>
        <v>2423.0166666666664</v>
      </c>
      <c r="AC19">
        <f t="shared" si="9"/>
        <v>242.30333333333331</v>
      </c>
      <c r="AD19">
        <f t="shared" si="10"/>
        <v>10261.356333333335</v>
      </c>
      <c r="AF19">
        <v>200</v>
      </c>
      <c r="AG19">
        <f t="shared" si="11"/>
        <v>213.1893591723879</v>
      </c>
      <c r="AH19">
        <f t="shared" si="12"/>
        <v>29.681055916752449</v>
      </c>
      <c r="AI19">
        <f t="shared" si="13"/>
        <v>355.81706828275333</v>
      </c>
      <c r="AJ19">
        <f t="shared" si="14"/>
        <v>51.329657765597169</v>
      </c>
      <c r="AK19">
        <f t="shared" si="15"/>
        <v>66.307719015209798</v>
      </c>
      <c r="AL19">
        <f t="shared" si="16"/>
        <v>326.33688258761111</v>
      </c>
      <c r="AM19">
        <f t="shared" si="17"/>
        <v>109.12639043940429</v>
      </c>
      <c r="AN19">
        <f t="shared" si="18"/>
        <v>4.1305283358588065</v>
      </c>
      <c r="AO19">
        <f t="shared" si="19"/>
        <v>1.3889040043621852</v>
      </c>
      <c r="AP19">
        <f t="shared" si="20"/>
        <v>111.53328770521047</v>
      </c>
    </row>
    <row r="26" spans="1:42" x14ac:dyDescent="0.2">
      <c r="A26" t="s">
        <v>51</v>
      </c>
    </row>
    <row r="28" spans="1:42" x14ac:dyDescent="0.2">
      <c r="B28">
        <v>231.60900000000001</v>
      </c>
      <c r="C28">
        <v>235.32</v>
      </c>
      <c r="D28">
        <v>247.40299999999999</v>
      </c>
      <c r="E28">
        <v>198.90899999999999</v>
      </c>
      <c r="F28">
        <v>195.291</v>
      </c>
      <c r="G28">
        <v>191.55</v>
      </c>
      <c r="H28">
        <v>1388.8889999999999</v>
      </c>
      <c r="I28">
        <v>1354.4670000000001</v>
      </c>
      <c r="J28">
        <v>1368.7149999999999</v>
      </c>
      <c r="K28">
        <v>1318.681</v>
      </c>
      <c r="L28">
        <v>1370.2619999999999</v>
      </c>
      <c r="M28">
        <v>1318.681</v>
      </c>
      <c r="N28" t="s">
        <v>41</v>
      </c>
    </row>
    <row r="29" spans="1:42" x14ac:dyDescent="0.2">
      <c r="B29">
        <v>248.39400000000001</v>
      </c>
      <c r="C29">
        <v>247.46199999999999</v>
      </c>
      <c r="D29">
        <v>248.065</v>
      </c>
      <c r="E29">
        <v>294.08600000000001</v>
      </c>
      <c r="F29">
        <v>300.70400000000001</v>
      </c>
      <c r="G29">
        <v>294.80099999999999</v>
      </c>
      <c r="H29">
        <v>1353.5909999999999</v>
      </c>
      <c r="I29">
        <v>1327.913</v>
      </c>
      <c r="J29">
        <v>1315.068</v>
      </c>
      <c r="K29">
        <v>1203.2090000000001</v>
      </c>
      <c r="L29">
        <v>1335.2270000000001</v>
      </c>
      <c r="M29">
        <v>1402.9849999999999</v>
      </c>
      <c r="N29" t="s">
        <v>41</v>
      </c>
    </row>
    <row r="30" spans="1:42" x14ac:dyDescent="0.2">
      <c r="B30">
        <v>246.54599999999999</v>
      </c>
      <c r="C30">
        <v>242.88800000000001</v>
      </c>
      <c r="D30">
        <v>237.37899999999999</v>
      </c>
      <c r="E30">
        <v>475.83800000000002</v>
      </c>
      <c r="F30">
        <v>479.125</v>
      </c>
      <c r="G30">
        <v>474.483</v>
      </c>
      <c r="H30">
        <v>1318.681</v>
      </c>
      <c r="I30">
        <v>1452.991</v>
      </c>
      <c r="J30">
        <v>1335.15</v>
      </c>
      <c r="K30">
        <v>1395.3489999999999</v>
      </c>
      <c r="L30">
        <v>1420.29</v>
      </c>
      <c r="M30">
        <v>1428.5709999999999</v>
      </c>
      <c r="N30" t="s">
        <v>41</v>
      </c>
    </row>
    <row r="31" spans="1:42" x14ac:dyDescent="0.2">
      <c r="B31">
        <v>234.71100000000001</v>
      </c>
      <c r="C31">
        <v>234.84800000000001</v>
      </c>
      <c r="D31">
        <v>226.76499999999999</v>
      </c>
      <c r="E31">
        <v>1497.788</v>
      </c>
      <c r="F31">
        <v>1515.442</v>
      </c>
      <c r="G31">
        <v>1500.479</v>
      </c>
      <c r="H31">
        <v>1331.4449999999999</v>
      </c>
      <c r="I31">
        <v>1317.204</v>
      </c>
      <c r="J31">
        <v>1329.64</v>
      </c>
      <c r="K31">
        <v>1400</v>
      </c>
      <c r="L31">
        <v>1388.1020000000001</v>
      </c>
      <c r="M31">
        <v>1253.482</v>
      </c>
      <c r="N31" t="s">
        <v>41</v>
      </c>
    </row>
    <row r="32" spans="1:42" x14ac:dyDescent="0.2">
      <c r="B32">
        <v>230.88</v>
      </c>
      <c r="C32">
        <v>230.71899999999999</v>
      </c>
      <c r="D32">
        <v>227.69399999999999</v>
      </c>
      <c r="E32">
        <v>4526.78</v>
      </c>
      <c r="F32">
        <v>4642.8190000000004</v>
      </c>
      <c r="G32">
        <v>4595.2510000000002</v>
      </c>
      <c r="H32">
        <v>1416.1849999999999</v>
      </c>
      <c r="I32">
        <v>1327.684</v>
      </c>
      <c r="J32">
        <v>1363.636</v>
      </c>
      <c r="K32">
        <v>1449.2750000000001</v>
      </c>
      <c r="L32">
        <v>1559.633</v>
      </c>
      <c r="M32">
        <v>1404.4939999999999</v>
      </c>
      <c r="N32" t="s">
        <v>41</v>
      </c>
    </row>
    <row r="33" spans="2:14" x14ac:dyDescent="0.2">
      <c r="B33">
        <v>232.38</v>
      </c>
      <c r="C33">
        <v>230.48099999999999</v>
      </c>
      <c r="D33">
        <v>228.93299999999999</v>
      </c>
      <c r="E33">
        <v>6647.5730000000003</v>
      </c>
      <c r="F33">
        <v>6738.9960000000001</v>
      </c>
      <c r="G33">
        <v>6599.9579999999996</v>
      </c>
      <c r="H33">
        <v>1256.9829999999999</v>
      </c>
      <c r="I33">
        <v>1240.31</v>
      </c>
      <c r="J33">
        <v>1373.626</v>
      </c>
      <c r="K33">
        <v>1311.4749999999999</v>
      </c>
      <c r="L33">
        <v>1533.742</v>
      </c>
      <c r="M33">
        <v>1331.4449999999999</v>
      </c>
      <c r="N33" t="s">
        <v>41</v>
      </c>
    </row>
    <row r="34" spans="2:14" x14ac:dyDescent="0.2">
      <c r="B34">
        <v>242.91499999999999</v>
      </c>
      <c r="C34">
        <v>241.40700000000001</v>
      </c>
      <c r="D34">
        <v>242.42400000000001</v>
      </c>
      <c r="E34">
        <v>9346.5910000000003</v>
      </c>
      <c r="F34">
        <v>9338.8259999999991</v>
      </c>
      <c r="G34">
        <v>9268.8060000000005</v>
      </c>
      <c r="H34">
        <v>1363.636</v>
      </c>
      <c r="I34">
        <v>1307.902</v>
      </c>
      <c r="J34">
        <v>1273.713</v>
      </c>
      <c r="K34">
        <v>1300.8130000000001</v>
      </c>
      <c r="L34">
        <v>1536.145</v>
      </c>
      <c r="M34">
        <v>1395.3489999999999</v>
      </c>
      <c r="N34" t="s">
        <v>41</v>
      </c>
    </row>
    <row r="35" spans="2:14" x14ac:dyDescent="0.2">
      <c r="B35">
        <v>241.24100000000001</v>
      </c>
      <c r="C35">
        <v>243.875</v>
      </c>
      <c r="D35">
        <v>241.79400000000001</v>
      </c>
      <c r="E35">
        <v>10133.486000000001</v>
      </c>
      <c r="F35">
        <v>10338.579</v>
      </c>
      <c r="G35">
        <v>10312.004000000001</v>
      </c>
      <c r="H35">
        <v>1297.9349999999999</v>
      </c>
      <c r="I35">
        <v>1449.2750000000001</v>
      </c>
      <c r="J35">
        <v>1256.9829999999999</v>
      </c>
      <c r="K35">
        <v>1297.297</v>
      </c>
      <c r="L35">
        <v>1536.05</v>
      </c>
      <c r="M35">
        <v>1328.125</v>
      </c>
      <c r="N35" t="s">
        <v>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9"/>
  <sheetViews>
    <sheetView workbookViewId="0">
      <selection activeCell="E18" sqref="E18"/>
    </sheetView>
  </sheetViews>
  <sheetFormatPr baseColWidth="10" defaultColWidth="11" defaultRowHeight="16" x14ac:dyDescent="0.2"/>
  <cols>
    <col min="2" max="2" width="15.1640625" customWidth="1"/>
    <col min="3" max="3" width="16.6640625" customWidth="1"/>
    <col min="4" max="4" width="21.83203125" customWidth="1"/>
    <col min="5" max="5" width="17.5" customWidth="1"/>
    <col min="6" max="6" width="20.6640625" customWidth="1"/>
    <col min="8" max="8" width="17.6640625" customWidth="1"/>
    <col min="9" max="9" width="16" customWidth="1"/>
    <col min="10" max="10" width="21.1640625" customWidth="1"/>
    <col min="11" max="11" width="21.33203125" customWidth="1"/>
    <col min="12" max="12" width="20" customWidth="1"/>
  </cols>
  <sheetData>
    <row r="1" spans="1:11" x14ac:dyDescent="0.2">
      <c r="A1" t="s">
        <v>80</v>
      </c>
      <c r="B1" t="s">
        <v>52</v>
      </c>
      <c r="C1" t="s">
        <v>58</v>
      </c>
      <c r="D1" t="s">
        <v>62</v>
      </c>
      <c r="E1" t="s">
        <v>68</v>
      </c>
      <c r="G1" t="s">
        <v>80</v>
      </c>
      <c r="H1" t="s">
        <v>52</v>
      </c>
      <c r="I1" t="s">
        <v>58</v>
      </c>
      <c r="J1" t="s">
        <v>62</v>
      </c>
      <c r="K1" t="s">
        <v>68</v>
      </c>
    </row>
    <row r="2" spans="1:11" x14ac:dyDescent="0.2">
      <c r="A2">
        <v>0</v>
      </c>
      <c r="B2">
        <v>20282.841666666664</v>
      </c>
      <c r="C2">
        <v>7402.2286666666669</v>
      </c>
      <c r="D2">
        <v>12953.36</v>
      </c>
      <c r="E2">
        <v>14123.672333333334</v>
      </c>
      <c r="G2">
        <v>0</v>
      </c>
      <c r="H2">
        <v>188.9871755340383</v>
      </c>
      <c r="I2">
        <v>300.31925541385652</v>
      </c>
      <c r="J2">
        <v>31.459241392633249</v>
      </c>
      <c r="K2">
        <v>137.27438261501422</v>
      </c>
    </row>
    <row r="3" spans="1:11" x14ac:dyDescent="0.2">
      <c r="A3">
        <v>2.5</v>
      </c>
      <c r="B3">
        <v>19929.612666666664</v>
      </c>
      <c r="C3">
        <v>7327.3016666666663</v>
      </c>
      <c r="D3">
        <v>12679.942333333334</v>
      </c>
      <c r="E3">
        <v>13728.594333333333</v>
      </c>
      <c r="G3">
        <v>2.5</v>
      </c>
      <c r="H3">
        <v>262.33645647590282</v>
      </c>
      <c r="I3">
        <v>294.61089641480248</v>
      </c>
      <c r="J3">
        <v>99.33226343103965</v>
      </c>
      <c r="K3">
        <v>201.48222136539317</v>
      </c>
    </row>
    <row r="4" spans="1:11" x14ac:dyDescent="0.2">
      <c r="A4">
        <v>5</v>
      </c>
      <c r="B4">
        <v>19788.95033333333</v>
      </c>
      <c r="C4">
        <v>7081.5013333333336</v>
      </c>
      <c r="D4">
        <v>12732.895666666665</v>
      </c>
      <c r="E4">
        <v>13744.525666666666</v>
      </c>
      <c r="G4">
        <v>5</v>
      </c>
      <c r="H4">
        <v>245.12484592618</v>
      </c>
      <c r="I4">
        <v>347.56453956687432</v>
      </c>
      <c r="J4">
        <v>100.78373151125875</v>
      </c>
      <c r="K4">
        <v>173.90295093049235</v>
      </c>
    </row>
    <row r="5" spans="1:11" x14ac:dyDescent="0.2">
      <c r="A5">
        <v>10</v>
      </c>
      <c r="B5">
        <v>20068.278666666669</v>
      </c>
      <c r="C5">
        <v>6922.4476666666669</v>
      </c>
      <c r="D5">
        <v>12776.431333333334</v>
      </c>
      <c r="E5">
        <v>13644.237666666666</v>
      </c>
      <c r="G5">
        <v>10</v>
      </c>
      <c r="H5">
        <v>207.76487528052851</v>
      </c>
      <c r="I5">
        <v>247.58953618909959</v>
      </c>
      <c r="J5">
        <v>129.89885075062529</v>
      </c>
      <c r="K5">
        <v>135.41439537336285</v>
      </c>
    </row>
    <row r="6" spans="1:11" x14ac:dyDescent="0.2">
      <c r="A6">
        <v>20</v>
      </c>
      <c r="B6">
        <v>19920.376999999997</v>
      </c>
      <c r="C6">
        <v>6966.0783333333338</v>
      </c>
      <c r="D6">
        <v>12841.008000000002</v>
      </c>
      <c r="E6">
        <v>13671.029666666667</v>
      </c>
      <c r="G6">
        <v>20</v>
      </c>
      <c r="H6">
        <v>297.97609996944414</v>
      </c>
      <c r="I6">
        <v>370.47845109983564</v>
      </c>
      <c r="J6">
        <v>108.15440389091918</v>
      </c>
      <c r="K6">
        <v>152.6580577019549</v>
      </c>
    </row>
    <row r="7" spans="1:11" x14ac:dyDescent="0.2">
      <c r="A7">
        <v>40</v>
      </c>
      <c r="B7">
        <v>19819.232666666667</v>
      </c>
      <c r="C7">
        <v>6969.1363333333329</v>
      </c>
      <c r="D7">
        <v>12986.118333333332</v>
      </c>
      <c r="E7">
        <v>13765.243</v>
      </c>
      <c r="G7">
        <v>40</v>
      </c>
      <c r="H7">
        <v>278.20947763391075</v>
      </c>
      <c r="I7">
        <v>388.29792934335029</v>
      </c>
      <c r="J7">
        <v>143.65234628203373</v>
      </c>
      <c r="K7">
        <v>173.37960754079492</v>
      </c>
    </row>
    <row r="8" spans="1:11" x14ac:dyDescent="0.2">
      <c r="A8">
        <v>80</v>
      </c>
      <c r="B8">
        <v>20459.5</v>
      </c>
      <c r="C8">
        <v>6968.2449999999999</v>
      </c>
      <c r="D8">
        <v>13297.845666666666</v>
      </c>
      <c r="E8">
        <v>14211.079666666667</v>
      </c>
      <c r="G8">
        <v>80</v>
      </c>
      <c r="H8">
        <v>228.73216512113055</v>
      </c>
      <c r="I8">
        <v>408.24488125511118</v>
      </c>
      <c r="J8">
        <v>111.35983367594207</v>
      </c>
      <c r="K8">
        <v>206.8992526190786</v>
      </c>
    </row>
    <row r="9" spans="1:11" x14ac:dyDescent="0.2">
      <c r="A9">
        <v>200</v>
      </c>
      <c r="B9">
        <v>20503.716666666667</v>
      </c>
      <c r="C9">
        <v>7013.1986666666662</v>
      </c>
      <c r="D9">
        <v>13391.394</v>
      </c>
      <c r="E9">
        <v>14062.780333333334</v>
      </c>
      <c r="G9">
        <v>200</v>
      </c>
      <c r="H9">
        <v>213.1893591723879</v>
      </c>
      <c r="I9">
        <v>355.81706828275333</v>
      </c>
      <c r="J9">
        <v>66.307719015209798</v>
      </c>
      <c r="K9">
        <v>109.12639043940429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210817_CellSys_OTscRNA_AofI_2</vt:lpstr>
      <vt:lpstr>gathered</vt:lpstr>
      <vt:lpstr>plottable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2021-08-18T18:53:45Z</dcterms:created>
  <dcterms:modified xsi:type="dcterms:W3CDTF">2021-10-07T22:55:39Z</dcterms:modified>
</cp:coreProperties>
</file>