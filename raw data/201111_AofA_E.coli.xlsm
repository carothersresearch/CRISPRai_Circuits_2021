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wnetid-my.sharepoint.com/personal/dalba_uw_edu/Documents/research/carothers/txtl data/BH4 and Co/"/>
    </mc:Choice>
  </mc:AlternateContent>
  <xr:revisionPtr revIDLastSave="18" documentId="13_ncr:1_{6FAF2329-6C4F-4CEF-BD43-8A6E4EA8EAB0}" xr6:coauthVersionLast="45" xr6:coauthVersionMax="45" xr10:uidLastSave="{87106F24-401E-4083-BCE8-5C8AC611747F}"/>
  <bookViews>
    <workbookView xWindow="-120" yWindow="-120" windowWidth="29040" windowHeight="15840" activeTab="1" xr2:uid="{00000000-000D-0000-FFFF-FFFF00000000}"/>
  </bookViews>
  <sheets>
    <sheet name="201111_AofA_E.coli" sheetId="1" r:id="rId1"/>
    <sheet name="fig4C plotting data_Aof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165" i="1" l="1"/>
  <c r="AH165" i="1"/>
  <c r="AH154" i="1"/>
  <c r="Y126" i="1"/>
  <c r="X126" i="1"/>
  <c r="W126" i="1"/>
  <c r="V126" i="1"/>
  <c r="U126" i="1"/>
  <c r="T126" i="1"/>
  <c r="Z95" i="1"/>
  <c r="Y95" i="1"/>
  <c r="X95" i="1"/>
  <c r="W95" i="1"/>
  <c r="S95" i="1"/>
  <c r="R95" i="1"/>
  <c r="Q95" i="1"/>
  <c r="P95" i="1"/>
  <c r="Z94" i="1"/>
  <c r="Y94" i="1"/>
  <c r="X94" i="1"/>
  <c r="W94" i="1"/>
  <c r="S94" i="1"/>
  <c r="R94" i="1"/>
  <c r="Q94" i="1"/>
  <c r="P94" i="1"/>
  <c r="Z93" i="1"/>
  <c r="Y93" i="1"/>
  <c r="X93" i="1"/>
  <c r="W93" i="1"/>
  <c r="S93" i="1"/>
  <c r="R93" i="1"/>
  <c r="Q93" i="1"/>
  <c r="P93" i="1"/>
  <c r="Y92" i="1"/>
  <c r="Z92" i="1"/>
  <c r="X92" i="1"/>
  <c r="W92" i="1"/>
  <c r="S92" i="1"/>
  <c r="R92" i="1"/>
  <c r="Q92" i="1"/>
  <c r="P92" i="1"/>
  <c r="Z91" i="1"/>
  <c r="Y91" i="1"/>
  <c r="X91" i="1"/>
  <c r="W91" i="1"/>
  <c r="S91" i="1"/>
  <c r="R91" i="1"/>
  <c r="Q91" i="1"/>
  <c r="P91" i="1"/>
  <c r="Z90" i="1"/>
  <c r="Y90" i="1"/>
  <c r="X90" i="1"/>
  <c r="W90" i="1"/>
  <c r="S90" i="1"/>
  <c r="R90" i="1"/>
  <c r="Q90" i="1"/>
  <c r="P90" i="1"/>
  <c r="Z89" i="1"/>
  <c r="Y89" i="1"/>
  <c r="X89" i="1"/>
  <c r="S89" i="1"/>
  <c r="R89" i="1"/>
  <c r="Q89" i="1"/>
  <c r="W89" i="1"/>
  <c r="P89" i="1"/>
</calcChain>
</file>

<file path=xl/sharedStrings.xml><?xml version="1.0" encoding="utf-8"?>
<sst xmlns="http://schemas.openxmlformats.org/spreadsheetml/2006/main" count="180" uniqueCount="78">
  <si>
    <t>Software Version</t>
  </si>
  <si>
    <t>2.07.17</t>
  </si>
  <si>
    <t>Experiment File Path:</t>
  </si>
  <si>
    <t>C:\Users\Public\Documents\Experiments\BT\201111_AofA_e.coli.xpt</t>
  </si>
  <si>
    <t>Protocol File Path:</t>
  </si>
  <si>
    <t>C:\Users\Public\Documents\Protocols\OD600_GFP_RFP_35gain.prt</t>
  </si>
  <si>
    <t>Plate Number</t>
  </si>
  <si>
    <t>Plate 1</t>
  </si>
  <si>
    <t>Date</t>
  </si>
  <si>
    <t>Time</t>
  </si>
  <si>
    <t>Reader Type:</t>
  </si>
  <si>
    <t>Synergy HTX</t>
  </si>
  <si>
    <t>Reader Serial Number:</t>
  </si>
  <si>
    <t>Reading Type</t>
  </si>
  <si>
    <t>Reader</t>
  </si>
  <si>
    <t>Procedure Details</t>
  </si>
  <si>
    <t>Plate Type</t>
  </si>
  <si>
    <t>96 WELL PLATE</t>
  </si>
  <si>
    <t>Well Selection</t>
  </si>
  <si>
    <t>Runtime</t>
  </si>
  <si>
    <t>Eject plate on completion</t>
  </si>
  <si>
    <t>Read</t>
  </si>
  <si>
    <t>Absorbance Endpoint</t>
  </si>
  <si>
    <t>Full Plate</t>
  </si>
  <si>
    <t>Wavelengths:  600</t>
  </si>
  <si>
    <t>Read Speed: Normal,  Delay: 100 msec,  Measurements/Data Point: 8</t>
  </si>
  <si>
    <t>GFP+RFP</t>
  </si>
  <si>
    <t>Fluorescence Endpoint</t>
  </si>
  <si>
    <t>Filter Set 1</t>
  </si>
  <si>
    <t xml:space="preserve">    Excitation: 485/20,  Emission: 528/20</t>
  </si>
  <si>
    <t xml:space="preserve">    Optics: Bottom,  Gain: 35</t>
  </si>
  <si>
    <t>Filter Set 2</t>
  </si>
  <si>
    <t xml:space="preserve">    Excitation: 540/35,  Emission: 600/40</t>
  </si>
  <si>
    <t>Light Source: Tungsten,  Extended Dynamic Range</t>
  </si>
  <si>
    <t>Read Speed: Normal,  Delay: 100 msec,  Measurements/Data Point: 10</t>
  </si>
  <si>
    <t>Actual Temperature:</t>
  </si>
  <si>
    <t>Results</t>
  </si>
  <si>
    <t>A</t>
  </si>
  <si>
    <t>GFP+RFP:485/20,528/20</t>
  </si>
  <si>
    <t>GFP+RFP:540/35,600/40</t>
  </si>
  <si>
    <t>Ratio</t>
  </si>
  <si>
    <t>B</t>
  </si>
  <si>
    <t>C</t>
  </si>
  <si>
    <t>D</t>
  </si>
  <si>
    <t>E</t>
  </si>
  <si>
    <t>F</t>
  </si>
  <si>
    <t>G</t>
  </si>
  <si>
    <t>H</t>
  </si>
  <si>
    <t>pBT012.105AA</t>
  </si>
  <si>
    <t>pBT012.105A</t>
  </si>
  <si>
    <t>pBT012.105OT</t>
  </si>
  <si>
    <t>pBT012AA</t>
  </si>
  <si>
    <t>pBT012A</t>
  </si>
  <si>
    <t>pBT012OT</t>
  </si>
  <si>
    <t>pBT012N26-3AA</t>
  </si>
  <si>
    <t>pBT012N26-3A</t>
  </si>
  <si>
    <t>pBT012N26-3OT</t>
  </si>
  <si>
    <t>Broken cascadeJ306</t>
  </si>
  <si>
    <t>broken CascadeJ206</t>
  </si>
  <si>
    <t>broken cascade Aav</t>
  </si>
  <si>
    <t>143J3+J306</t>
  </si>
  <si>
    <t>143.J3+.J206</t>
  </si>
  <si>
    <t>143.J3+AAV</t>
  </si>
  <si>
    <t>143.J2+J206</t>
  </si>
  <si>
    <t>143.J2+J306</t>
  </si>
  <si>
    <t>143.J2+AAV</t>
  </si>
  <si>
    <t>averages</t>
  </si>
  <si>
    <t>stdevs</t>
  </si>
  <si>
    <t>broken cascade OT</t>
  </si>
  <si>
    <t>Y=high</t>
  </si>
  <si>
    <t>Y=med</t>
  </si>
  <si>
    <t>Y=low</t>
  </si>
  <si>
    <t>Y=OT</t>
  </si>
  <si>
    <t>143.J3</t>
  </si>
  <si>
    <t>143.J2</t>
  </si>
  <si>
    <t>layers to 2.5 fold</t>
  </si>
  <si>
    <t xml:space="preserve">averages </t>
  </si>
  <si>
    <t>pCK085. on=J306, Off=AAV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</si>
</sst>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19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Y=high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'201111_AofA_E.coli'!$P$101:$R$102</c:f>
              <c:strCache>
                <c:ptCount val="3"/>
                <c:pt idx="0">
                  <c:v>pBT012.105AA</c:v>
                </c:pt>
                <c:pt idx="1">
                  <c:v>pBT012.105A</c:v>
                </c:pt>
                <c:pt idx="2">
                  <c:v>pBT012.105OT</c:v>
                </c:pt>
              </c:strCache>
            </c:strRef>
          </c:cat>
          <c:val>
            <c:numRef>
              <c:f>'201111_AofA_E.coli'!$P$103:$R$103</c:f>
              <c:numCache>
                <c:formatCode>General</c:formatCode>
                <c:ptCount val="3"/>
                <c:pt idx="0">
                  <c:v>7305.8980000000001</c:v>
                </c:pt>
                <c:pt idx="1">
                  <c:v>6822.3456666666671</c:v>
                </c:pt>
                <c:pt idx="2">
                  <c:v>5094.2193333333335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0B-E749-8A7B-DFEF6ED11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Y=medium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'201111_AofA_E.coli'!$S$101:$U$102</c:f>
              <c:strCache>
                <c:ptCount val="3"/>
                <c:pt idx="0">
                  <c:v>pBT012AA</c:v>
                </c:pt>
                <c:pt idx="1">
                  <c:v>pBT012A</c:v>
                </c:pt>
                <c:pt idx="2">
                  <c:v>pBT012OT</c:v>
                </c:pt>
              </c:strCache>
            </c:strRef>
          </c:cat>
          <c:val>
            <c:numRef>
              <c:f>'201111_AofA_E.coli'!$S$103:$U$103</c:f>
              <c:numCache>
                <c:formatCode>General</c:formatCode>
                <c:ptCount val="3"/>
                <c:pt idx="0">
                  <c:v>6520.232</c:v>
                </c:pt>
                <c:pt idx="1">
                  <c:v>6635.3756666666668</c:v>
                </c:pt>
                <c:pt idx="2">
                  <c:v>1107.1266666666668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D7-2242-A338-15BE43FD2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Y=low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'201111_AofA_E.coli'!$V$101:$X$102</c:f>
              <c:strCache>
                <c:ptCount val="3"/>
                <c:pt idx="0">
                  <c:v>pBT012N26-3AA</c:v>
                </c:pt>
                <c:pt idx="1">
                  <c:v>pBT012N26-3A</c:v>
                </c:pt>
                <c:pt idx="2">
                  <c:v>pBT012N26-3OT</c:v>
                </c:pt>
              </c:strCache>
            </c:strRef>
          </c:cat>
          <c:val>
            <c:numRef>
              <c:f>'201111_AofA_E.coli'!$V$103:$X$103</c:f>
              <c:numCache>
                <c:formatCode>General</c:formatCode>
                <c:ptCount val="3"/>
                <c:pt idx="0">
                  <c:v>6304.7269999999999</c:v>
                </c:pt>
                <c:pt idx="1">
                  <c:v>6925.8223333333326</c:v>
                </c:pt>
                <c:pt idx="2">
                  <c:v>511.50933333333336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D-4E4F-B1A8-1998AA2C6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Y=off target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'201111_AofA_E.coli'!$Y$101:$AA$102</c:f>
              <c:strCache>
                <c:ptCount val="3"/>
                <c:pt idx="0">
                  <c:v>Broken cascadeJ306</c:v>
                </c:pt>
                <c:pt idx="1">
                  <c:v>broken CascadeJ206</c:v>
                </c:pt>
                <c:pt idx="2">
                  <c:v>broken cascade OT</c:v>
                </c:pt>
              </c:strCache>
            </c:strRef>
          </c:cat>
          <c:val>
            <c:numRef>
              <c:f>'201111_AofA_E.coli'!$Y$103:$AA$103</c:f>
              <c:numCache>
                <c:formatCode>General</c:formatCode>
                <c:ptCount val="3"/>
                <c:pt idx="0">
                  <c:v>269.44933333333336</c:v>
                </c:pt>
                <c:pt idx="1">
                  <c:v>6175.1490000000003</c:v>
                </c:pt>
                <c:pt idx="2">
                  <c:v>339.565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5F-4E42-A8E2-B65F77991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simple CRISPRa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'201111_AofA_E.coli'!$AB$101:$AG$102</c:f>
              <c:strCache>
                <c:ptCount val="6"/>
                <c:pt idx="0">
                  <c:v>143J3+J306</c:v>
                </c:pt>
                <c:pt idx="1">
                  <c:v>143.J3+.J206</c:v>
                </c:pt>
                <c:pt idx="2">
                  <c:v>143.J3+AAV</c:v>
                </c:pt>
                <c:pt idx="3">
                  <c:v>143.J2+J206</c:v>
                </c:pt>
                <c:pt idx="4">
                  <c:v>143.J2+J306</c:v>
                </c:pt>
                <c:pt idx="5">
                  <c:v>143.J2+AAV</c:v>
                </c:pt>
              </c:strCache>
            </c:strRef>
          </c:cat>
          <c:val>
            <c:numRef>
              <c:f>'201111_AofA_E.coli'!$AB$103:$AG$103</c:f>
              <c:numCache>
                <c:formatCode>General</c:formatCode>
                <c:ptCount val="6"/>
                <c:pt idx="0">
                  <c:v>10913.232000000002</c:v>
                </c:pt>
                <c:pt idx="1">
                  <c:v>288.17133333333328</c:v>
                </c:pt>
                <c:pt idx="2">
                  <c:v>281.87766666666664</c:v>
                </c:pt>
                <c:pt idx="3">
                  <c:v>6065.2423333333327</c:v>
                </c:pt>
                <c:pt idx="4">
                  <c:v>271.84333333333331</c:v>
                </c:pt>
                <c:pt idx="5">
                  <c:v>275.339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23-0C48-A9B6-37CFC8533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8931600"/>
        <c:axId val="1471117440"/>
      </c:barChart>
      <c:catAx>
        <c:axId val="154893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117440"/>
        <c:crosses val="autoZero"/>
        <c:auto val="1"/>
        <c:lblAlgn val="ctr"/>
        <c:lblOffset val="100"/>
        <c:noMultiLvlLbl val="0"/>
      </c:catAx>
      <c:valAx>
        <c:axId val="1471117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89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activation ratio compared to CRISPRa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'201111_AofA_E.coli'!$T$125:$Y$125</c:f>
              <c:strCache>
                <c:ptCount val="6"/>
                <c:pt idx="0">
                  <c:v>Y=high</c:v>
                </c:pt>
                <c:pt idx="1">
                  <c:v>Y=med</c:v>
                </c:pt>
                <c:pt idx="2">
                  <c:v>Y=low</c:v>
                </c:pt>
                <c:pt idx="3">
                  <c:v>Y=OT</c:v>
                </c:pt>
                <c:pt idx="4">
                  <c:v>143.J3</c:v>
                </c:pt>
                <c:pt idx="5">
                  <c:v>143.J2</c:v>
                </c:pt>
              </c:strCache>
            </c:strRef>
          </c:cat>
          <c:val>
            <c:numRef>
              <c:f>'201111_AofA_E.coli'!$T$126:$Y$126</c:f>
              <c:numCache>
                <c:formatCode>General</c:formatCode>
                <c:ptCount val="6"/>
                <c:pt idx="0">
                  <c:v>1.4341545822722723</c:v>
                </c:pt>
                <c:pt idx="1">
                  <c:v>5.8893279299568242</c:v>
                </c:pt>
                <c:pt idx="2">
                  <c:v>12.325732081786711</c:v>
                </c:pt>
                <c:pt idx="3">
                  <c:v>0.79351326942804279</c:v>
                </c:pt>
                <c:pt idx="4">
                  <c:v>38.716199580669162</c:v>
                </c:pt>
                <c:pt idx="5">
                  <c:v>22.028271815228983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20-114D-BC34-9D6D3A2DC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7458096"/>
        <c:axId val="1576183392"/>
      </c:barChart>
      <c:catAx>
        <c:axId val="146745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6183392"/>
        <c:crosses val="autoZero"/>
        <c:auto val="1"/>
        <c:lblAlgn val="ctr"/>
        <c:lblOffset val="100"/>
        <c:noMultiLvlLbl val="0"/>
      </c:catAx>
      <c:valAx>
        <c:axId val="157618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45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Vs CRISPRa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'201111_AofA_E.coli'!$AG$126:$AJ$126</c:f>
                <c:numCache>
                  <c:formatCode>General</c:formatCode>
                  <c:ptCount val="4"/>
                  <c:pt idx="0">
                    <c:v>127.46753813814712</c:v>
                  </c:pt>
                  <c:pt idx="1">
                    <c:v>8.9155814355168861</c:v>
                  </c:pt>
                  <c:pt idx="2">
                    <c:v>171.19933547281474</c:v>
                  </c:pt>
                  <c:pt idx="3">
                    <c:v>4.1424744215665772</c:v>
                  </c:pt>
                </c:numCache>
              </c:numRef>
            </c:plus>
            <c:minus>
              <c:numRef>
                <c:f>'201111_AofA_E.coli'!$AG$126:$AJ$126</c:f>
                <c:numCache>
                  <c:formatCode>General</c:formatCode>
                  <c:ptCount val="4"/>
                  <c:pt idx="0">
                    <c:v>127.46753813814712</c:v>
                  </c:pt>
                  <c:pt idx="1">
                    <c:v>8.9155814355168861</c:v>
                  </c:pt>
                  <c:pt idx="2">
                    <c:v>171.19933547281474</c:v>
                  </c:pt>
                  <c:pt idx="3">
                    <c:v>4.1424744215665772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'201111_AofA_E.coli'!$AB$125:$AE$125</c:f>
              <c:strCache>
                <c:ptCount val="4"/>
                <c:pt idx="0">
                  <c:v>pBT012N26-3AA</c:v>
                </c:pt>
                <c:pt idx="1">
                  <c:v>pBT012N26-3OT</c:v>
                </c:pt>
                <c:pt idx="2">
                  <c:v>143.J2+J206</c:v>
                </c:pt>
                <c:pt idx="3">
                  <c:v>143.J2+AAV</c:v>
                </c:pt>
              </c:strCache>
            </c:strRef>
          </c:cat>
          <c:val>
            <c:numRef>
              <c:f>'201111_AofA_E.coli'!$AB$126:$AE$126</c:f>
              <c:numCache>
                <c:formatCode>General</c:formatCode>
                <c:ptCount val="4"/>
                <c:pt idx="0">
                  <c:v>6304.7269999999999</c:v>
                </c:pt>
                <c:pt idx="1">
                  <c:v>511.50933333333336</c:v>
                </c:pt>
                <c:pt idx="2">
                  <c:v>6065.2423333333327</c:v>
                </c:pt>
                <c:pt idx="3">
                  <c:v>275.339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18-4945-B435-1664AA3A2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857232"/>
        <c:axId val="1585580672"/>
      </c:barChart>
      <c:catAx>
        <c:axId val="1550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5580672"/>
        <c:crosses val="autoZero"/>
        <c:auto val="1"/>
        <c:lblAlgn val="ctr"/>
        <c:lblOffset val="100"/>
        <c:noMultiLvlLbl val="0"/>
      </c:catAx>
      <c:valAx>
        <c:axId val="158558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0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Cascade vs 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'201111_AofA_E.coli'!$AI$147:$AL$147</c:f>
                <c:numCache>
                  <c:formatCode>General</c:formatCode>
                  <c:ptCount val="4"/>
                  <c:pt idx="0">
                    <c:v>127.46753813814712</c:v>
                  </c:pt>
                  <c:pt idx="1">
                    <c:v>8.9155814355168861</c:v>
                  </c:pt>
                  <c:pt idx="2">
                    <c:v>171.0631267368862</c:v>
                  </c:pt>
                  <c:pt idx="3">
                    <c:v>3.4297479499228536</c:v>
                  </c:pt>
                </c:numCache>
              </c:numRef>
            </c:plus>
            <c:minus>
              <c:numRef>
                <c:f>'201111_AofA_E.coli'!$AI$147:$AL$147</c:f>
                <c:numCache>
                  <c:formatCode>General</c:formatCode>
                  <c:ptCount val="4"/>
                  <c:pt idx="0">
                    <c:v>127.46753813814712</c:v>
                  </c:pt>
                  <c:pt idx="1">
                    <c:v>8.9155814355168861</c:v>
                  </c:pt>
                  <c:pt idx="2">
                    <c:v>171.0631267368862</c:v>
                  </c:pt>
                  <c:pt idx="3">
                    <c:v>3.4297479499228536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'201111_AofA_E.coli'!$AB$146:$AE$146</c:f>
              <c:strCache>
                <c:ptCount val="4"/>
                <c:pt idx="0">
                  <c:v>pBT012N26-3AA</c:v>
                </c:pt>
                <c:pt idx="1">
                  <c:v>pBT012N26-3OT</c:v>
                </c:pt>
                <c:pt idx="2">
                  <c:v>broken CascadeJ206</c:v>
                </c:pt>
                <c:pt idx="3">
                  <c:v>broken cascade OT</c:v>
                </c:pt>
              </c:strCache>
            </c:strRef>
          </c:cat>
          <c:val>
            <c:numRef>
              <c:f>'201111_AofA_E.coli'!$AB$147:$AE$147</c:f>
              <c:numCache>
                <c:formatCode>General</c:formatCode>
                <c:ptCount val="4"/>
                <c:pt idx="0">
                  <c:v>6304.7269999999999</c:v>
                </c:pt>
                <c:pt idx="1">
                  <c:v>511.50933333333336</c:v>
                </c:pt>
                <c:pt idx="2">
                  <c:v>6175.1490000000003</c:v>
                </c:pt>
                <c:pt idx="3">
                  <c:v>339.565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A-EE4A-B36C-61F88636D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0903424"/>
        <c:axId val="1467900912"/>
      </c:barChart>
      <c:catAx>
        <c:axId val="1530903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900912"/>
        <c:crosses val="autoZero"/>
        <c:auto val="1"/>
        <c:lblAlgn val="ctr"/>
        <c:lblOffset val="100"/>
        <c:noMultiLvlLbl val="0"/>
      </c:catAx>
      <c:valAx>
        <c:axId val="146790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090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</a:t>
            </a:r>
            <a:r>
              <a:rPr lang="en-US" baseline="0"/>
              <a:t> for Fig 4C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'201111_AofA_E.coli'!$S$175:$AC$175</c:f>
                <c:numCache>
                  <c:formatCode>General</c:formatCode>
                  <c:ptCount val="11"/>
                  <c:pt idx="0">
                    <c:v>171.0631267368862</c:v>
                  </c:pt>
                  <c:pt idx="1">
                    <c:v>3.4297479499228536</c:v>
                  </c:pt>
                  <c:pt idx="3">
                    <c:v>434.82808599261381</c:v>
                  </c:pt>
                  <c:pt idx="4">
                    <c:v>1095.7431159032367</c:v>
                  </c:pt>
                  <c:pt idx="6">
                    <c:v>139.61151576069909</c:v>
                  </c:pt>
                  <c:pt idx="7">
                    <c:v>61.63009804740971</c:v>
                  </c:pt>
                  <c:pt idx="9">
                    <c:v>127.46753813814712</c:v>
                  </c:pt>
                  <c:pt idx="10">
                    <c:v>8.9155814355168861</c:v>
                  </c:pt>
                </c:numCache>
              </c:numRef>
            </c:plus>
            <c:minus>
              <c:numRef>
                <c:f>'201111_AofA_E.coli'!$S$175:$AC$175</c:f>
                <c:numCache>
                  <c:formatCode>General</c:formatCode>
                  <c:ptCount val="11"/>
                  <c:pt idx="0">
                    <c:v>171.0631267368862</c:v>
                  </c:pt>
                  <c:pt idx="1">
                    <c:v>3.4297479499228536</c:v>
                  </c:pt>
                  <c:pt idx="3">
                    <c:v>434.82808599261381</c:v>
                  </c:pt>
                  <c:pt idx="4">
                    <c:v>1095.7431159032367</c:v>
                  </c:pt>
                  <c:pt idx="6">
                    <c:v>139.61151576069909</c:v>
                  </c:pt>
                  <c:pt idx="7">
                    <c:v>61.63009804740971</c:v>
                  </c:pt>
                  <c:pt idx="9">
                    <c:v>127.46753813814712</c:v>
                  </c:pt>
                  <c:pt idx="10">
                    <c:v>8.9155814355168861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'201111_AofA_E.coli'!$C$174:$M$174</c:f>
              <c:strCache>
                <c:ptCount val="11"/>
                <c:pt idx="0">
                  <c:v>broken CascadeJ206</c:v>
                </c:pt>
                <c:pt idx="1">
                  <c:v>broken cascade OT</c:v>
                </c:pt>
                <c:pt idx="3">
                  <c:v>pBT012.105AA</c:v>
                </c:pt>
                <c:pt idx="4">
                  <c:v>pBT012.105OT</c:v>
                </c:pt>
                <c:pt idx="6">
                  <c:v>pBT012AA</c:v>
                </c:pt>
                <c:pt idx="7">
                  <c:v>pBT012OT</c:v>
                </c:pt>
                <c:pt idx="9">
                  <c:v>pBT012N26-3AA</c:v>
                </c:pt>
                <c:pt idx="10">
                  <c:v>pBT012N26-3OT</c:v>
                </c:pt>
              </c:strCache>
            </c:strRef>
          </c:cat>
          <c:val>
            <c:numRef>
              <c:f>'201111_AofA_E.coli'!$C$175:$M$175</c:f>
              <c:numCache>
                <c:formatCode>General</c:formatCode>
                <c:ptCount val="11"/>
                <c:pt idx="0">
                  <c:v>6175.1490000000003</c:v>
                </c:pt>
                <c:pt idx="1">
                  <c:v>339.565</c:v>
                </c:pt>
                <c:pt idx="3">
                  <c:v>7305.8980000000001</c:v>
                </c:pt>
                <c:pt idx="4">
                  <c:v>5094.2193333333335</c:v>
                </c:pt>
                <c:pt idx="6">
                  <c:v>6520.232</c:v>
                </c:pt>
                <c:pt idx="7">
                  <c:v>1107.1266666666668</c:v>
                </c:pt>
                <c:pt idx="9">
                  <c:v>6304.7269999999999</c:v>
                </c:pt>
                <c:pt idx="10">
                  <c:v>511.50933333333336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B3-2F40-AB1B-E8C2E822B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4631024"/>
        <c:axId val="1592699024"/>
      </c:barChart>
      <c:catAx>
        <c:axId val="160463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2699024"/>
        <c:crosses val="autoZero"/>
        <c:auto val="1"/>
        <c:lblAlgn val="ctr"/>
        <c:lblOffset val="100"/>
        <c:noMultiLvlLbl val="0"/>
      </c:catAx>
      <c:valAx>
        <c:axId val="1592699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63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69850</xdr:colOff>
      <xdr:row>107</xdr:row>
      <xdr:rowOff>25400</xdr:rowOff>
    </xdr:from>
    <xdr:to>
      <xdr:col>21</xdr:col>
      <xdr:colOff>514350</xdr:colOff>
      <xdr:row>120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F35445-B64B-A640-850A-4A900B4105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533400</xdr:colOff>
      <xdr:row>107</xdr:row>
      <xdr:rowOff>12700</xdr:rowOff>
    </xdr:from>
    <xdr:to>
      <xdr:col>27</xdr:col>
      <xdr:colOff>152400</xdr:colOff>
      <xdr:row>120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AC8F1F-95E3-5643-9465-4CCE140E86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107</xdr:row>
      <xdr:rowOff>0</xdr:rowOff>
    </xdr:from>
    <xdr:to>
      <xdr:col>32</xdr:col>
      <xdr:colOff>444500</xdr:colOff>
      <xdr:row>120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E58FC68-7769-8449-B02A-61EB27B3A0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444500</xdr:colOff>
      <xdr:row>107</xdr:row>
      <xdr:rowOff>0</xdr:rowOff>
    </xdr:from>
    <xdr:to>
      <xdr:col>38</xdr:col>
      <xdr:colOff>63500</xdr:colOff>
      <xdr:row>120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78FA9B-1E50-9E48-B694-2BB64C272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50800</xdr:colOff>
      <xdr:row>107</xdr:row>
      <xdr:rowOff>0</xdr:rowOff>
    </xdr:from>
    <xdr:to>
      <xdr:col>43</xdr:col>
      <xdr:colOff>495300</xdr:colOff>
      <xdr:row>120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8C1FFCD-2702-9841-B798-F04A97B13E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400050</xdr:colOff>
      <xdr:row>126</xdr:row>
      <xdr:rowOff>25400</xdr:rowOff>
    </xdr:from>
    <xdr:to>
      <xdr:col>25</xdr:col>
      <xdr:colOff>19050</xdr:colOff>
      <xdr:row>139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6DC0BBF-FDEE-344F-A004-5FE4794E0F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692150</xdr:colOff>
      <xdr:row>128</xdr:row>
      <xdr:rowOff>0</xdr:rowOff>
    </xdr:from>
    <xdr:to>
      <xdr:col>32</xdr:col>
      <xdr:colOff>311150</xdr:colOff>
      <xdr:row>141</xdr:row>
      <xdr:rowOff>101600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6F0F6E1-EA37-C048-AEE4-D3EBDC0EC6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114300</xdr:colOff>
      <xdr:row>148</xdr:row>
      <xdr:rowOff>12700</xdr:rowOff>
    </xdr:from>
    <xdr:to>
      <xdr:col>32</xdr:col>
      <xdr:colOff>558800</xdr:colOff>
      <xdr:row>161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5CB3C52-E027-4F47-A552-970974D7C1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169333</xdr:colOff>
      <xdr:row>176</xdr:row>
      <xdr:rowOff>93134</xdr:rowOff>
    </xdr:from>
    <xdr:to>
      <xdr:col>10</xdr:col>
      <xdr:colOff>592667</xdr:colOff>
      <xdr:row>189</xdr:row>
      <xdr:rowOff>194734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665FA22-F1C2-F94B-B38E-665FF47320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BB175"/>
  <sheetViews>
    <sheetView topLeftCell="L151" zoomScale="88" zoomScaleNormal="110" workbookViewId="0">
      <selection activeCell="AD103" sqref="AD103"/>
    </sheetView>
  </sheetViews>
  <sheetFormatPr defaultColWidth="11" defaultRowHeight="15.75" x14ac:dyDescent="0.25"/>
  <sheetData>
    <row r="3" spans="1:2" x14ac:dyDescent="0.25">
      <c r="A3" t="s">
        <v>0</v>
      </c>
      <c r="B3" t="s">
        <v>1</v>
      </c>
    </row>
    <row r="7" spans="1:2" x14ac:dyDescent="0.25">
      <c r="A7" t="s">
        <v>2</v>
      </c>
      <c r="B7" t="s">
        <v>3</v>
      </c>
    </row>
    <row r="8" spans="1:2" x14ac:dyDescent="0.25">
      <c r="A8" t="s">
        <v>4</v>
      </c>
      <c r="B8" t="s">
        <v>5</v>
      </c>
    </row>
    <row r="12" spans="1:2" x14ac:dyDescent="0.25">
      <c r="A12" t="s">
        <v>6</v>
      </c>
      <c r="B12" t="s">
        <v>7</v>
      </c>
    </row>
    <row r="13" spans="1:2" x14ac:dyDescent="0.25">
      <c r="A13" t="s">
        <v>8</v>
      </c>
      <c r="B13" s="1">
        <v>44146</v>
      </c>
    </row>
    <row r="14" spans="1:2" x14ac:dyDescent="0.25">
      <c r="A14" t="s">
        <v>9</v>
      </c>
      <c r="B14" s="2">
        <v>0.56013888888888885</v>
      </c>
    </row>
    <row r="15" spans="1:2" x14ac:dyDescent="0.25">
      <c r="A15" t="s">
        <v>10</v>
      </c>
      <c r="B15" t="s">
        <v>11</v>
      </c>
    </row>
    <row r="16" spans="1:2" x14ac:dyDescent="0.25">
      <c r="A16" t="s">
        <v>12</v>
      </c>
      <c r="B16">
        <v>15021819</v>
      </c>
    </row>
    <row r="17" spans="1:2" x14ac:dyDescent="0.25">
      <c r="A17" t="s">
        <v>13</v>
      </c>
      <c r="B17" t="s">
        <v>14</v>
      </c>
    </row>
    <row r="19" spans="1:2" x14ac:dyDescent="0.25">
      <c r="A19" t="s">
        <v>15</v>
      </c>
    </row>
    <row r="21" spans="1:2" x14ac:dyDescent="0.25">
      <c r="A21" t="s">
        <v>16</v>
      </c>
      <c r="B21" t="s">
        <v>17</v>
      </c>
    </row>
    <row r="22" spans="1:2" x14ac:dyDescent="0.25">
      <c r="A22" t="s">
        <v>18</v>
      </c>
      <c r="B22" t="s">
        <v>19</v>
      </c>
    </row>
    <row r="23" spans="1:2" x14ac:dyDescent="0.25">
      <c r="A23" t="s">
        <v>20</v>
      </c>
    </row>
    <row r="24" spans="1:2" x14ac:dyDescent="0.25">
      <c r="A24" t="s">
        <v>21</v>
      </c>
      <c r="B24" t="s">
        <v>22</v>
      </c>
    </row>
    <row r="25" spans="1:2" x14ac:dyDescent="0.25">
      <c r="B25" t="s">
        <v>23</v>
      </c>
    </row>
    <row r="26" spans="1:2" x14ac:dyDescent="0.25">
      <c r="B26" t="s">
        <v>24</v>
      </c>
    </row>
    <row r="27" spans="1:2" x14ac:dyDescent="0.25">
      <c r="B27" t="s">
        <v>25</v>
      </c>
    </row>
    <row r="28" spans="1:2" x14ac:dyDescent="0.25">
      <c r="A28" t="s">
        <v>21</v>
      </c>
      <c r="B28" t="s">
        <v>26</v>
      </c>
    </row>
    <row r="29" spans="1:2" x14ac:dyDescent="0.25">
      <c r="B29" t="s">
        <v>27</v>
      </c>
    </row>
    <row r="30" spans="1:2" x14ac:dyDescent="0.25">
      <c r="B30" t="s">
        <v>23</v>
      </c>
    </row>
    <row r="31" spans="1:2" x14ac:dyDescent="0.25">
      <c r="B31" t="s">
        <v>28</v>
      </c>
    </row>
    <row r="32" spans="1:2" x14ac:dyDescent="0.25">
      <c r="B32" t="s">
        <v>29</v>
      </c>
    </row>
    <row r="33" spans="1:2" x14ac:dyDescent="0.25">
      <c r="B33" t="s">
        <v>30</v>
      </c>
    </row>
    <row r="34" spans="1:2" x14ac:dyDescent="0.25">
      <c r="B34" t="s">
        <v>31</v>
      </c>
    </row>
    <row r="35" spans="1:2" x14ac:dyDescent="0.25">
      <c r="B35" t="s">
        <v>32</v>
      </c>
    </row>
    <row r="36" spans="1:2" x14ac:dyDescent="0.25">
      <c r="B36" t="s">
        <v>30</v>
      </c>
    </row>
    <row r="37" spans="1:2" x14ac:dyDescent="0.25">
      <c r="B37" t="s">
        <v>33</v>
      </c>
    </row>
    <row r="38" spans="1:2" x14ac:dyDescent="0.25">
      <c r="B38" t="s">
        <v>34</v>
      </c>
    </row>
    <row r="42" spans="1:2" x14ac:dyDescent="0.25">
      <c r="A42" t="s">
        <v>35</v>
      </c>
      <c r="B42">
        <v>20.5</v>
      </c>
    </row>
    <row r="46" spans="1:2" x14ac:dyDescent="0.25">
      <c r="A46" t="s">
        <v>35</v>
      </c>
      <c r="B46">
        <v>20.6</v>
      </c>
    </row>
    <row r="50" spans="1:14" x14ac:dyDescent="0.25">
      <c r="A50" t="s">
        <v>35</v>
      </c>
      <c r="B50">
        <v>20.6</v>
      </c>
    </row>
    <row r="52" spans="1:14" x14ac:dyDescent="0.25">
      <c r="A52" t="s">
        <v>36</v>
      </c>
    </row>
    <row r="53" spans="1:14" x14ac:dyDescent="0.25">
      <c r="B53">
        <v>1</v>
      </c>
      <c r="C53">
        <v>2</v>
      </c>
      <c r="D53">
        <v>3</v>
      </c>
      <c r="E53">
        <v>4</v>
      </c>
      <c r="F53">
        <v>5</v>
      </c>
      <c r="G53">
        <v>6</v>
      </c>
      <c r="H53">
        <v>7</v>
      </c>
      <c r="I53">
        <v>8</v>
      </c>
      <c r="J53">
        <v>9</v>
      </c>
      <c r="K53">
        <v>10</v>
      </c>
      <c r="L53">
        <v>11</v>
      </c>
      <c r="M53">
        <v>12</v>
      </c>
    </row>
    <row r="54" spans="1:14" x14ac:dyDescent="0.25">
      <c r="A54" t="s">
        <v>37</v>
      </c>
      <c r="B54">
        <v>0.875</v>
      </c>
      <c r="C54">
        <v>0.82</v>
      </c>
      <c r="D54">
        <v>0.89700000000000002</v>
      </c>
      <c r="E54">
        <v>0.89800000000000002</v>
      </c>
      <c r="F54">
        <v>0.88900000000000001</v>
      </c>
      <c r="G54">
        <v>0.91</v>
      </c>
      <c r="H54">
        <v>0.88100000000000001</v>
      </c>
      <c r="I54">
        <v>0.83799999999999997</v>
      </c>
      <c r="J54">
        <v>0.89300000000000002</v>
      </c>
      <c r="K54">
        <v>0.88700000000000001</v>
      </c>
      <c r="L54">
        <v>0.88200000000000001</v>
      </c>
      <c r="M54">
        <v>0.85299999999999998</v>
      </c>
      <c r="N54">
        <v>600</v>
      </c>
    </row>
    <row r="55" spans="1:14" x14ac:dyDescent="0.25">
      <c r="B55">
        <v>323</v>
      </c>
      <c r="C55">
        <v>319</v>
      </c>
      <c r="D55">
        <v>332</v>
      </c>
      <c r="E55">
        <v>325</v>
      </c>
      <c r="F55">
        <v>320</v>
      </c>
      <c r="G55">
        <v>326</v>
      </c>
      <c r="H55">
        <v>305</v>
      </c>
      <c r="I55">
        <v>309</v>
      </c>
      <c r="J55">
        <v>294</v>
      </c>
      <c r="K55">
        <v>327</v>
      </c>
      <c r="L55">
        <v>319</v>
      </c>
      <c r="M55">
        <v>315</v>
      </c>
      <c r="N55" t="s">
        <v>38</v>
      </c>
    </row>
    <row r="56" spans="1:14" x14ac:dyDescent="0.25">
      <c r="B56">
        <v>6004</v>
      </c>
      <c r="C56">
        <v>6340</v>
      </c>
      <c r="D56">
        <v>6573</v>
      </c>
      <c r="E56">
        <v>5968</v>
      </c>
      <c r="F56">
        <v>6198</v>
      </c>
      <c r="G56">
        <v>6237</v>
      </c>
      <c r="H56">
        <v>4844</v>
      </c>
      <c r="I56">
        <v>4966</v>
      </c>
      <c r="J56">
        <v>3442</v>
      </c>
      <c r="K56">
        <v>5863</v>
      </c>
      <c r="L56">
        <v>5817</v>
      </c>
      <c r="M56">
        <v>5427</v>
      </c>
      <c r="N56" t="s">
        <v>39</v>
      </c>
    </row>
    <row r="57" spans="1:14" x14ac:dyDescent="0.25">
      <c r="B57">
        <v>6860.93</v>
      </c>
      <c r="C57">
        <v>7729.8220000000001</v>
      </c>
      <c r="D57">
        <v>7326.942</v>
      </c>
      <c r="E57">
        <v>6645.14</v>
      </c>
      <c r="F57">
        <v>6970.31</v>
      </c>
      <c r="G57">
        <v>6851.5870000000004</v>
      </c>
      <c r="H57">
        <v>5499.5460000000003</v>
      </c>
      <c r="I57">
        <v>5929.5519999999997</v>
      </c>
      <c r="J57">
        <v>3853.56</v>
      </c>
      <c r="K57">
        <v>6608.4309999999996</v>
      </c>
      <c r="L57">
        <v>6592.9960000000001</v>
      </c>
      <c r="M57">
        <v>6359.2690000000002</v>
      </c>
      <c r="N57" t="s">
        <v>40</v>
      </c>
    </row>
    <row r="58" spans="1:14" x14ac:dyDescent="0.25">
      <c r="A58" t="s">
        <v>41</v>
      </c>
      <c r="B58">
        <v>0.89</v>
      </c>
      <c r="C58">
        <v>0.81299999999999994</v>
      </c>
      <c r="D58">
        <v>0.89600000000000002</v>
      </c>
      <c r="E58">
        <v>0.85499999999999998</v>
      </c>
      <c r="F58">
        <v>0.83399999999999996</v>
      </c>
      <c r="G58">
        <v>0.85099999999999998</v>
      </c>
      <c r="H58">
        <v>0.90400000000000003</v>
      </c>
      <c r="I58">
        <v>0.89300000000000002</v>
      </c>
      <c r="J58">
        <v>0.88200000000000001</v>
      </c>
      <c r="K58">
        <v>0.90200000000000002</v>
      </c>
      <c r="L58">
        <v>0.89100000000000001</v>
      </c>
      <c r="M58">
        <v>0.88800000000000001</v>
      </c>
      <c r="N58">
        <v>600</v>
      </c>
    </row>
    <row r="59" spans="1:14" x14ac:dyDescent="0.25">
      <c r="B59">
        <v>323</v>
      </c>
      <c r="C59">
        <v>310</v>
      </c>
      <c r="D59">
        <v>324</v>
      </c>
      <c r="E59">
        <v>296</v>
      </c>
      <c r="F59">
        <v>291</v>
      </c>
      <c r="G59">
        <v>287</v>
      </c>
      <c r="H59">
        <v>316</v>
      </c>
      <c r="I59">
        <v>313</v>
      </c>
      <c r="J59">
        <v>317</v>
      </c>
      <c r="K59">
        <v>325</v>
      </c>
      <c r="L59">
        <v>327</v>
      </c>
      <c r="M59">
        <v>321</v>
      </c>
      <c r="N59" t="s">
        <v>38</v>
      </c>
    </row>
    <row r="60" spans="1:14" x14ac:dyDescent="0.25">
      <c r="B60">
        <v>5863</v>
      </c>
      <c r="C60">
        <v>5634</v>
      </c>
      <c r="D60">
        <v>5720</v>
      </c>
      <c r="E60">
        <v>985</v>
      </c>
      <c r="F60">
        <v>865</v>
      </c>
      <c r="G60">
        <v>963</v>
      </c>
      <c r="H60">
        <v>5588</v>
      </c>
      <c r="I60">
        <v>5745</v>
      </c>
      <c r="J60">
        <v>5556</v>
      </c>
      <c r="K60">
        <v>6125</v>
      </c>
      <c r="L60">
        <v>6276</v>
      </c>
      <c r="M60">
        <v>6165</v>
      </c>
      <c r="N60" t="s">
        <v>39</v>
      </c>
    </row>
    <row r="61" spans="1:14" x14ac:dyDescent="0.25">
      <c r="B61">
        <v>6586.9</v>
      </c>
      <c r="C61">
        <v>6932.4470000000001</v>
      </c>
      <c r="D61">
        <v>6386.78</v>
      </c>
      <c r="E61">
        <v>1152.316</v>
      </c>
      <c r="F61">
        <v>1036.922</v>
      </c>
      <c r="G61">
        <v>1132.1420000000001</v>
      </c>
      <c r="H61">
        <v>6180.049</v>
      </c>
      <c r="I61">
        <v>6434.8119999999999</v>
      </c>
      <c r="J61">
        <v>6299.32</v>
      </c>
      <c r="K61">
        <v>6792.7250000000004</v>
      </c>
      <c r="L61">
        <v>7040.61</v>
      </c>
      <c r="M61">
        <v>6944.1319999999996</v>
      </c>
      <c r="N61" t="s">
        <v>40</v>
      </c>
    </row>
    <row r="62" spans="1:14" x14ac:dyDescent="0.25">
      <c r="A62" t="s">
        <v>42</v>
      </c>
      <c r="B62">
        <v>0.84299999999999997</v>
      </c>
      <c r="C62">
        <v>0.86899999999999999</v>
      </c>
      <c r="D62">
        <v>0.84099999999999997</v>
      </c>
      <c r="E62">
        <v>0.88600000000000001</v>
      </c>
      <c r="F62">
        <v>0.88200000000000001</v>
      </c>
      <c r="G62">
        <v>0.89300000000000002</v>
      </c>
      <c r="H62">
        <v>0.85899999999999999</v>
      </c>
      <c r="I62">
        <v>0.85399999999999998</v>
      </c>
      <c r="J62">
        <v>0.85099999999999998</v>
      </c>
      <c r="K62">
        <v>0.85199999999999998</v>
      </c>
      <c r="L62">
        <v>0.85499999999999998</v>
      </c>
      <c r="M62">
        <v>0.82799999999999996</v>
      </c>
      <c r="N62">
        <v>600</v>
      </c>
    </row>
    <row r="63" spans="1:14" x14ac:dyDescent="0.25">
      <c r="B63">
        <v>307</v>
      </c>
      <c r="C63">
        <v>319</v>
      </c>
      <c r="D63">
        <v>296</v>
      </c>
      <c r="E63">
        <v>322</v>
      </c>
      <c r="F63">
        <v>318</v>
      </c>
      <c r="G63">
        <v>318</v>
      </c>
      <c r="H63">
        <v>322</v>
      </c>
      <c r="I63">
        <v>319</v>
      </c>
      <c r="J63">
        <v>321</v>
      </c>
      <c r="K63">
        <v>298</v>
      </c>
      <c r="L63">
        <v>298</v>
      </c>
      <c r="M63">
        <v>297</v>
      </c>
      <c r="N63" t="s">
        <v>38</v>
      </c>
    </row>
    <row r="64" spans="1:14" x14ac:dyDescent="0.25">
      <c r="B64">
        <v>283</v>
      </c>
      <c r="C64">
        <v>297</v>
      </c>
      <c r="D64">
        <v>287</v>
      </c>
      <c r="E64">
        <v>5604</v>
      </c>
      <c r="F64">
        <v>5478</v>
      </c>
      <c r="G64">
        <v>5348</v>
      </c>
      <c r="H64">
        <v>232</v>
      </c>
      <c r="I64">
        <v>228</v>
      </c>
      <c r="J64">
        <v>231</v>
      </c>
      <c r="K64">
        <v>443</v>
      </c>
      <c r="L64">
        <v>438</v>
      </c>
      <c r="M64">
        <v>416</v>
      </c>
      <c r="N64" t="s">
        <v>39</v>
      </c>
    </row>
    <row r="65" spans="1:14" x14ac:dyDescent="0.25">
      <c r="B65">
        <v>335.62599999999998</v>
      </c>
      <c r="C65">
        <v>341.89</v>
      </c>
      <c r="D65">
        <v>341.17899999999997</v>
      </c>
      <c r="E65">
        <v>6325.0559999999996</v>
      </c>
      <c r="F65">
        <v>6211.5889999999999</v>
      </c>
      <c r="G65">
        <v>5988.8019999999997</v>
      </c>
      <c r="H65">
        <v>270.05</v>
      </c>
      <c r="I65">
        <v>266.94799999999998</v>
      </c>
      <c r="J65">
        <v>271.35000000000002</v>
      </c>
      <c r="K65">
        <v>520.01400000000001</v>
      </c>
      <c r="L65">
        <v>512.28099999999995</v>
      </c>
      <c r="M65">
        <v>502.233</v>
      </c>
      <c r="N65" t="s">
        <v>40</v>
      </c>
    </row>
    <row r="66" spans="1:14" x14ac:dyDescent="0.25">
      <c r="A66" t="s">
        <v>43</v>
      </c>
      <c r="B66">
        <v>0.93100000000000005</v>
      </c>
      <c r="C66">
        <v>0.93200000000000005</v>
      </c>
      <c r="D66">
        <v>0.92800000000000005</v>
      </c>
      <c r="E66">
        <v>0.85799999999999998</v>
      </c>
      <c r="F66">
        <v>0.85099999999999998</v>
      </c>
      <c r="G66">
        <v>0.85199999999999998</v>
      </c>
      <c r="H66">
        <v>0.86299999999999999</v>
      </c>
      <c r="I66">
        <v>0.9</v>
      </c>
      <c r="J66">
        <v>0.86399999999999999</v>
      </c>
      <c r="K66">
        <v>0.89900000000000002</v>
      </c>
      <c r="L66">
        <v>0.879</v>
      </c>
      <c r="M66">
        <v>0.89500000000000002</v>
      </c>
      <c r="N66">
        <v>600</v>
      </c>
    </row>
    <row r="67" spans="1:14" x14ac:dyDescent="0.25">
      <c r="B67">
        <v>323</v>
      </c>
      <c r="C67">
        <v>331</v>
      </c>
      <c r="D67">
        <v>324</v>
      </c>
      <c r="E67">
        <v>312</v>
      </c>
      <c r="F67">
        <v>321</v>
      </c>
      <c r="G67">
        <v>313</v>
      </c>
      <c r="H67">
        <v>327</v>
      </c>
      <c r="I67">
        <v>324</v>
      </c>
      <c r="J67">
        <v>321</v>
      </c>
      <c r="K67">
        <v>323</v>
      </c>
      <c r="L67">
        <v>319</v>
      </c>
      <c r="M67">
        <v>326</v>
      </c>
      <c r="N67" t="s">
        <v>38</v>
      </c>
    </row>
    <row r="68" spans="1:14" x14ac:dyDescent="0.25">
      <c r="B68">
        <v>10291</v>
      </c>
      <c r="C68">
        <v>10170</v>
      </c>
      <c r="D68">
        <v>9995</v>
      </c>
      <c r="E68">
        <v>247</v>
      </c>
      <c r="F68">
        <v>251</v>
      </c>
      <c r="G68">
        <v>240</v>
      </c>
      <c r="H68">
        <v>238</v>
      </c>
      <c r="I68">
        <v>241</v>
      </c>
      <c r="J68">
        <v>235</v>
      </c>
      <c r="K68">
        <v>5304</v>
      </c>
      <c r="L68">
        <v>5322</v>
      </c>
      <c r="M68">
        <v>5584</v>
      </c>
      <c r="N68" t="s">
        <v>39</v>
      </c>
    </row>
    <row r="69" spans="1:14" x14ac:dyDescent="0.25">
      <c r="B69">
        <v>11054.893</v>
      </c>
      <c r="C69">
        <v>10910.846</v>
      </c>
      <c r="D69">
        <v>10773.957</v>
      </c>
      <c r="E69">
        <v>287.87900000000002</v>
      </c>
      <c r="F69">
        <v>294.91199999999998</v>
      </c>
      <c r="G69">
        <v>281.72300000000001</v>
      </c>
      <c r="H69">
        <v>275.91000000000003</v>
      </c>
      <c r="I69">
        <v>267.62900000000002</v>
      </c>
      <c r="J69">
        <v>271.99099999999999</v>
      </c>
      <c r="K69">
        <v>5899.2330000000002</v>
      </c>
      <c r="L69">
        <v>6055.2960000000003</v>
      </c>
      <c r="M69">
        <v>6241.1980000000003</v>
      </c>
      <c r="N69" t="s">
        <v>40</v>
      </c>
    </row>
    <row r="70" spans="1:14" x14ac:dyDescent="0.25">
      <c r="A70" t="s">
        <v>44</v>
      </c>
      <c r="B70">
        <v>1.03</v>
      </c>
      <c r="C70">
        <v>1.0489999999999999</v>
      </c>
      <c r="D70">
        <v>1.0580000000000001</v>
      </c>
      <c r="E70">
        <v>0.9</v>
      </c>
      <c r="F70">
        <v>0.89500000000000002</v>
      </c>
      <c r="G70">
        <v>0.92800000000000005</v>
      </c>
      <c r="H70">
        <v>1.026</v>
      </c>
      <c r="I70">
        <v>1.042</v>
      </c>
      <c r="J70">
        <v>1.038</v>
      </c>
      <c r="K70">
        <v>1</v>
      </c>
      <c r="L70">
        <v>0.98399999999999999</v>
      </c>
      <c r="M70">
        <v>1.004</v>
      </c>
      <c r="N70">
        <v>600</v>
      </c>
    </row>
    <row r="71" spans="1:14" x14ac:dyDescent="0.25">
      <c r="B71">
        <v>239</v>
      </c>
      <c r="C71">
        <v>243</v>
      </c>
      <c r="D71">
        <v>247</v>
      </c>
      <c r="E71">
        <v>227</v>
      </c>
      <c r="F71">
        <v>223</v>
      </c>
      <c r="G71">
        <v>249</v>
      </c>
      <c r="H71">
        <v>235</v>
      </c>
      <c r="I71">
        <v>238</v>
      </c>
      <c r="J71">
        <v>236</v>
      </c>
      <c r="K71">
        <v>235</v>
      </c>
      <c r="L71">
        <v>234</v>
      </c>
      <c r="M71">
        <v>240</v>
      </c>
      <c r="N71" t="s">
        <v>38</v>
      </c>
    </row>
    <row r="72" spans="1:14" x14ac:dyDescent="0.25">
      <c r="B72">
        <v>23286</v>
      </c>
      <c r="C72">
        <v>23597</v>
      </c>
      <c r="D72">
        <v>23754</v>
      </c>
      <c r="E72">
        <v>5082</v>
      </c>
      <c r="F72">
        <v>4794</v>
      </c>
      <c r="G72">
        <v>5298</v>
      </c>
      <c r="H72">
        <v>17275</v>
      </c>
      <c r="I72">
        <v>17559</v>
      </c>
      <c r="J72">
        <v>17330</v>
      </c>
      <c r="K72">
        <v>16895</v>
      </c>
      <c r="L72">
        <v>17079</v>
      </c>
      <c r="M72">
        <v>17546</v>
      </c>
      <c r="N72" t="s">
        <v>39</v>
      </c>
    </row>
    <row r="73" spans="1:14" x14ac:dyDescent="0.25">
      <c r="B73">
        <v>22601.184000000001</v>
      </c>
      <c r="C73">
        <v>22486.183000000001</v>
      </c>
      <c r="D73">
        <v>22445.431</v>
      </c>
      <c r="E73">
        <v>5646.0389999999998</v>
      </c>
      <c r="F73">
        <v>5357.0230000000001</v>
      </c>
      <c r="G73">
        <v>5711.5140000000001</v>
      </c>
      <c r="H73">
        <v>16842.156999999999</v>
      </c>
      <c r="I73">
        <v>16856.100999999999</v>
      </c>
      <c r="J73">
        <v>16689.136999999999</v>
      </c>
      <c r="K73">
        <v>16889.933000000001</v>
      </c>
      <c r="L73">
        <v>17356.706999999999</v>
      </c>
      <c r="M73">
        <v>17479.578000000001</v>
      </c>
      <c r="N73" t="s">
        <v>40</v>
      </c>
    </row>
    <row r="74" spans="1:14" x14ac:dyDescent="0.25">
      <c r="A74" t="s">
        <v>45</v>
      </c>
      <c r="B74">
        <v>0.89800000000000002</v>
      </c>
      <c r="C74">
        <v>0.91500000000000004</v>
      </c>
      <c r="D74">
        <v>0.90800000000000003</v>
      </c>
      <c r="E74">
        <v>0.89100000000000001</v>
      </c>
      <c r="F74">
        <v>0.88600000000000001</v>
      </c>
      <c r="G74">
        <v>0.879</v>
      </c>
      <c r="H74">
        <v>0.89200000000000002</v>
      </c>
      <c r="I74">
        <v>0.91300000000000003</v>
      </c>
      <c r="J74">
        <v>0.89700000000000002</v>
      </c>
      <c r="K74">
        <v>0.85</v>
      </c>
      <c r="L74">
        <v>0.86599999999999999</v>
      </c>
      <c r="M74">
        <v>0.85199999999999998</v>
      </c>
      <c r="N74">
        <v>600</v>
      </c>
    </row>
    <row r="75" spans="1:14" x14ac:dyDescent="0.25">
      <c r="B75">
        <v>244</v>
      </c>
      <c r="C75">
        <v>230</v>
      </c>
      <c r="D75">
        <v>228</v>
      </c>
      <c r="E75">
        <v>227</v>
      </c>
      <c r="F75">
        <v>222</v>
      </c>
      <c r="G75">
        <v>224</v>
      </c>
      <c r="H75">
        <v>227</v>
      </c>
      <c r="I75">
        <v>231</v>
      </c>
      <c r="J75">
        <v>223</v>
      </c>
      <c r="K75">
        <v>306</v>
      </c>
      <c r="L75">
        <v>295</v>
      </c>
      <c r="M75">
        <v>294</v>
      </c>
      <c r="N75" t="s">
        <v>38</v>
      </c>
    </row>
    <row r="76" spans="1:14" x14ac:dyDescent="0.25">
      <c r="B76">
        <v>282</v>
      </c>
      <c r="C76">
        <v>285</v>
      </c>
      <c r="D76">
        <v>283</v>
      </c>
      <c r="E76">
        <v>165</v>
      </c>
      <c r="F76">
        <v>160</v>
      </c>
      <c r="G76">
        <v>162</v>
      </c>
      <c r="H76">
        <v>211</v>
      </c>
      <c r="I76">
        <v>222</v>
      </c>
      <c r="J76">
        <v>222</v>
      </c>
      <c r="K76">
        <v>239</v>
      </c>
      <c r="L76">
        <v>242</v>
      </c>
      <c r="M76">
        <v>243</v>
      </c>
      <c r="N76" t="s">
        <v>39</v>
      </c>
    </row>
    <row r="77" spans="1:14" x14ac:dyDescent="0.25">
      <c r="B77">
        <v>314.13600000000002</v>
      </c>
      <c r="C77">
        <v>311.54399999999998</v>
      </c>
      <c r="D77">
        <v>311.57100000000003</v>
      </c>
      <c r="E77">
        <v>185.24799999999999</v>
      </c>
      <c r="F77">
        <v>180.58699999999999</v>
      </c>
      <c r="G77">
        <v>184.25800000000001</v>
      </c>
      <c r="H77">
        <v>236.441</v>
      </c>
      <c r="I77">
        <v>243.02099999999999</v>
      </c>
      <c r="J77">
        <v>247.602</v>
      </c>
      <c r="K77">
        <v>281.04399999999998</v>
      </c>
      <c r="L77">
        <v>279.47800000000001</v>
      </c>
      <c r="M77">
        <v>285.11099999999999</v>
      </c>
      <c r="N77" t="s">
        <v>40</v>
      </c>
    </row>
    <row r="78" spans="1:14" x14ac:dyDescent="0.25">
      <c r="A78" t="s">
        <v>46</v>
      </c>
      <c r="B78">
        <v>0.86499999999999999</v>
      </c>
      <c r="C78">
        <v>0.86599999999999999</v>
      </c>
      <c r="D78">
        <v>0.86599999999999999</v>
      </c>
      <c r="E78">
        <v>3.9E-2</v>
      </c>
      <c r="F78">
        <v>4.4999999999999998E-2</v>
      </c>
      <c r="G78">
        <v>3.7999999999999999E-2</v>
      </c>
      <c r="H78">
        <v>4.2999999999999997E-2</v>
      </c>
      <c r="I78">
        <v>4.3999999999999997E-2</v>
      </c>
      <c r="J78">
        <v>4.3999999999999997E-2</v>
      </c>
      <c r="K78">
        <v>4.3999999999999997E-2</v>
      </c>
      <c r="L78">
        <v>4.2999999999999997E-2</v>
      </c>
      <c r="M78">
        <v>4.3999999999999997E-2</v>
      </c>
      <c r="N78">
        <v>600</v>
      </c>
    </row>
    <row r="79" spans="1:14" x14ac:dyDescent="0.25">
      <c r="B79">
        <v>312</v>
      </c>
      <c r="C79">
        <v>311</v>
      </c>
      <c r="D79">
        <v>311</v>
      </c>
      <c r="E79">
        <v>25</v>
      </c>
      <c r="F79">
        <v>26</v>
      </c>
      <c r="G79">
        <v>26</v>
      </c>
      <c r="H79">
        <v>31</v>
      </c>
      <c r="I79">
        <v>30</v>
      </c>
      <c r="J79">
        <v>31</v>
      </c>
      <c r="K79">
        <v>28</v>
      </c>
      <c r="L79">
        <v>30</v>
      </c>
      <c r="M79">
        <v>30</v>
      </c>
      <c r="N79" t="s">
        <v>38</v>
      </c>
    </row>
    <row r="80" spans="1:14" x14ac:dyDescent="0.25">
      <c r="B80">
        <v>243</v>
      </c>
      <c r="C80">
        <v>241</v>
      </c>
      <c r="D80">
        <v>231</v>
      </c>
      <c r="E80">
        <v>48</v>
      </c>
      <c r="F80">
        <v>49</v>
      </c>
      <c r="G80">
        <v>51</v>
      </c>
      <c r="H80">
        <v>64</v>
      </c>
      <c r="I80">
        <v>63</v>
      </c>
      <c r="J80">
        <v>63</v>
      </c>
      <c r="K80">
        <v>62</v>
      </c>
      <c r="L80">
        <v>63</v>
      </c>
      <c r="M80">
        <v>63</v>
      </c>
      <c r="N80" t="s">
        <v>39</v>
      </c>
    </row>
    <row r="81" spans="1:26" x14ac:dyDescent="0.25">
      <c r="B81">
        <v>280.827</v>
      </c>
      <c r="C81">
        <v>278.32299999999998</v>
      </c>
      <c r="D81">
        <v>266.86700000000002</v>
      </c>
      <c r="E81">
        <v>1237.1130000000001</v>
      </c>
      <c r="F81">
        <v>1079.2950000000001</v>
      </c>
      <c r="G81">
        <v>1356.383</v>
      </c>
      <c r="H81">
        <v>1478.06</v>
      </c>
      <c r="I81">
        <v>1422.1220000000001</v>
      </c>
      <c r="J81">
        <v>1425.3389999999999</v>
      </c>
      <c r="K81">
        <v>1418.7639999999999</v>
      </c>
      <c r="L81">
        <v>1465.116</v>
      </c>
      <c r="M81">
        <v>1435.08</v>
      </c>
      <c r="N81" t="s">
        <v>40</v>
      </c>
    </row>
    <row r="82" spans="1:26" x14ac:dyDescent="0.25">
      <c r="A82" t="s">
        <v>47</v>
      </c>
      <c r="B82">
        <v>4.2999999999999997E-2</v>
      </c>
      <c r="C82">
        <v>4.3999999999999997E-2</v>
      </c>
      <c r="D82">
        <v>4.3999999999999997E-2</v>
      </c>
      <c r="E82">
        <v>4.2999999999999997E-2</v>
      </c>
      <c r="F82">
        <v>4.2999999999999997E-2</v>
      </c>
      <c r="G82">
        <v>4.2999999999999997E-2</v>
      </c>
      <c r="H82">
        <v>4.2999999999999997E-2</v>
      </c>
      <c r="I82">
        <v>4.3999999999999997E-2</v>
      </c>
      <c r="J82">
        <v>4.3999999999999997E-2</v>
      </c>
      <c r="K82">
        <v>4.3999999999999997E-2</v>
      </c>
      <c r="L82">
        <v>4.2999999999999997E-2</v>
      </c>
      <c r="M82">
        <v>4.3999999999999997E-2</v>
      </c>
      <c r="N82">
        <v>600</v>
      </c>
    </row>
    <row r="83" spans="1:26" x14ac:dyDescent="0.25">
      <c r="B83">
        <v>33</v>
      </c>
      <c r="C83">
        <v>30</v>
      </c>
      <c r="D83">
        <v>29</v>
      </c>
      <c r="E83">
        <v>29</v>
      </c>
      <c r="F83">
        <v>29</v>
      </c>
      <c r="G83">
        <v>28</v>
      </c>
      <c r="H83">
        <v>29</v>
      </c>
      <c r="I83">
        <v>30</v>
      </c>
      <c r="J83">
        <v>27</v>
      </c>
      <c r="K83">
        <v>29</v>
      </c>
      <c r="L83">
        <v>31</v>
      </c>
      <c r="M83">
        <v>28</v>
      </c>
      <c r="N83" t="s">
        <v>38</v>
      </c>
    </row>
    <row r="84" spans="1:26" x14ac:dyDescent="0.25">
      <c r="B84">
        <v>64</v>
      </c>
      <c r="C84">
        <v>62</v>
      </c>
      <c r="D84">
        <v>63</v>
      </c>
      <c r="E84">
        <v>63</v>
      </c>
      <c r="F84">
        <v>64</v>
      </c>
      <c r="G84">
        <v>62</v>
      </c>
      <c r="H84">
        <v>62</v>
      </c>
      <c r="I84">
        <v>61</v>
      </c>
      <c r="J84">
        <v>63</v>
      </c>
      <c r="K84">
        <v>62</v>
      </c>
      <c r="L84">
        <v>63</v>
      </c>
      <c r="M84">
        <v>64</v>
      </c>
      <c r="N84" t="s">
        <v>39</v>
      </c>
    </row>
    <row r="85" spans="1:26" x14ac:dyDescent="0.25">
      <c r="B85">
        <v>1471.2639999999999</v>
      </c>
      <c r="C85">
        <v>1415.5250000000001</v>
      </c>
      <c r="D85">
        <v>1444.954</v>
      </c>
      <c r="E85">
        <v>1478.873</v>
      </c>
      <c r="F85">
        <v>1495.327</v>
      </c>
      <c r="G85">
        <v>1441.86</v>
      </c>
      <c r="H85">
        <v>1448.598</v>
      </c>
      <c r="I85">
        <v>1395.8810000000001</v>
      </c>
      <c r="J85">
        <v>1438.356</v>
      </c>
      <c r="K85">
        <v>1412.3009999999999</v>
      </c>
      <c r="L85">
        <v>1475.41</v>
      </c>
      <c r="M85">
        <v>1467.89</v>
      </c>
      <c r="N85" t="s">
        <v>40</v>
      </c>
    </row>
    <row r="89" spans="1:26" x14ac:dyDescent="0.25">
      <c r="B89">
        <v>6860.93</v>
      </c>
      <c r="C89">
        <v>7729.8220000000001</v>
      </c>
      <c r="D89">
        <v>7326.942</v>
      </c>
      <c r="E89">
        <v>6645.14</v>
      </c>
      <c r="F89">
        <v>6970.31</v>
      </c>
      <c r="G89">
        <v>6851.5870000000004</v>
      </c>
      <c r="H89">
        <v>5499.5460000000003</v>
      </c>
      <c r="I89">
        <v>5929.5519999999997</v>
      </c>
      <c r="J89">
        <v>3853.56</v>
      </c>
      <c r="K89">
        <v>6608.4309999999996</v>
      </c>
      <c r="L89">
        <v>6592.9960000000001</v>
      </c>
      <c r="M89">
        <v>6359.2690000000002</v>
      </c>
      <c r="N89" t="s">
        <v>40</v>
      </c>
      <c r="P89">
        <f>AVERAGE(B89:D89)</f>
        <v>7305.8980000000001</v>
      </c>
      <c r="Q89">
        <f>AVERAGE(E89:G89)</f>
        <v>6822.3456666666671</v>
      </c>
      <c r="R89">
        <f>AVERAGE(H89:J89)</f>
        <v>5094.2193333333335</v>
      </c>
      <c r="S89">
        <f>AVERAGE(K89:M89)</f>
        <v>6520.232</v>
      </c>
      <c r="W89">
        <f>STDEV(B89:D89)</f>
        <v>434.82808599261381</v>
      </c>
      <c r="X89">
        <f>STDEV(E89:G89)</f>
        <v>164.54535516487041</v>
      </c>
      <c r="Y89">
        <f>STDEV(H89:J89)</f>
        <v>1095.7431159032367</v>
      </c>
      <c r="Z89">
        <f>STDEV(K89:M89)</f>
        <v>139.61151576069909</v>
      </c>
    </row>
    <row r="90" spans="1:26" x14ac:dyDescent="0.25">
      <c r="B90">
        <v>6586.9</v>
      </c>
      <c r="C90">
        <v>6932.4470000000001</v>
      </c>
      <c r="D90">
        <v>6386.78</v>
      </c>
      <c r="E90">
        <v>1152.316</v>
      </c>
      <c r="F90">
        <v>1036.922</v>
      </c>
      <c r="G90">
        <v>1132.1420000000001</v>
      </c>
      <c r="H90">
        <v>6180.049</v>
      </c>
      <c r="I90">
        <v>6434.8119999999999</v>
      </c>
      <c r="J90">
        <v>6299.32</v>
      </c>
      <c r="K90">
        <v>6792.7250000000004</v>
      </c>
      <c r="L90">
        <v>7040.61</v>
      </c>
      <c r="M90">
        <v>6944.1319999999996</v>
      </c>
      <c r="N90" t="s">
        <v>40</v>
      </c>
      <c r="P90">
        <f t="shared" ref="P90:P95" si="0">AVERAGE(B90:D90)</f>
        <v>6635.3756666666668</v>
      </c>
      <c r="Q90">
        <f t="shared" ref="Q90:Q95" si="1">AVERAGE(E90:G90)</f>
        <v>1107.1266666666668</v>
      </c>
      <c r="R90">
        <f t="shared" ref="R90:R95" si="2">AVERAGE(H90:J90)</f>
        <v>6304.7269999999999</v>
      </c>
      <c r="S90">
        <f t="shared" ref="S90:S95" si="3">AVERAGE(K90:M90)</f>
        <v>6925.8223333333326</v>
      </c>
      <c r="W90">
        <f t="shared" ref="W90:W95" si="4">STDEV(B90:D90)</f>
        <v>276.04444645080883</v>
      </c>
      <c r="X90">
        <f t="shared" ref="X90:X95" si="5">STDEV(E90:G90)</f>
        <v>61.63009804740971</v>
      </c>
      <c r="Y90">
        <f t="shared" ref="Y90:Y95" si="6">STDEV(H90:J90)</f>
        <v>127.46753813814712</v>
      </c>
      <c r="Z90">
        <f t="shared" ref="Z90:Z95" si="7">STDEV(K90:M90)</f>
        <v>124.95269595464214</v>
      </c>
    </row>
    <row r="91" spans="1:26" x14ac:dyDescent="0.25">
      <c r="B91">
        <v>335.62599999999998</v>
      </c>
      <c r="C91">
        <v>341.89</v>
      </c>
      <c r="D91">
        <v>341.17899999999997</v>
      </c>
      <c r="E91">
        <v>6325.0559999999996</v>
      </c>
      <c r="F91">
        <v>6211.5889999999999</v>
      </c>
      <c r="G91">
        <v>5988.8019999999997</v>
      </c>
      <c r="H91">
        <v>270.05</v>
      </c>
      <c r="I91">
        <v>266.94799999999998</v>
      </c>
      <c r="J91">
        <v>271.35000000000002</v>
      </c>
      <c r="K91">
        <v>520.01400000000001</v>
      </c>
      <c r="L91">
        <v>512.28099999999995</v>
      </c>
      <c r="M91">
        <v>502.233</v>
      </c>
      <c r="N91" t="s">
        <v>40</v>
      </c>
      <c r="P91">
        <f t="shared" si="0"/>
        <v>339.565</v>
      </c>
      <c r="Q91">
        <f t="shared" si="1"/>
        <v>6175.1490000000003</v>
      </c>
      <c r="R91">
        <f t="shared" si="2"/>
        <v>269.44933333333336</v>
      </c>
      <c r="S91">
        <f t="shared" si="3"/>
        <v>511.50933333333336</v>
      </c>
      <c r="W91">
        <f t="shared" si="4"/>
        <v>3.4297479499228536</v>
      </c>
      <c r="X91">
        <f t="shared" si="5"/>
        <v>171.0631267368862</v>
      </c>
      <c r="Y91">
        <f t="shared" si="6"/>
        <v>2.2616368703515239</v>
      </c>
      <c r="Z91">
        <f t="shared" si="7"/>
        <v>8.9155814355168861</v>
      </c>
    </row>
    <row r="92" spans="1:26" x14ac:dyDescent="0.25">
      <c r="B92">
        <v>11054.893</v>
      </c>
      <c r="C92">
        <v>10910.846</v>
      </c>
      <c r="D92">
        <v>10773.957</v>
      </c>
      <c r="E92">
        <v>287.87900000000002</v>
      </c>
      <c r="F92">
        <v>294.91199999999998</v>
      </c>
      <c r="G92">
        <v>281.72300000000001</v>
      </c>
      <c r="H92">
        <v>275.91000000000003</v>
      </c>
      <c r="I92">
        <v>267.62900000000002</v>
      </c>
      <c r="J92">
        <v>271.99099999999999</v>
      </c>
      <c r="K92">
        <v>5899.2330000000002</v>
      </c>
      <c r="L92">
        <v>6055.2960000000003</v>
      </c>
      <c r="M92">
        <v>6241.1980000000003</v>
      </c>
      <c r="N92" t="s">
        <v>40</v>
      </c>
      <c r="P92">
        <f t="shared" si="0"/>
        <v>10913.232000000002</v>
      </c>
      <c r="Q92">
        <f t="shared" si="1"/>
        <v>288.17133333333328</v>
      </c>
      <c r="R92">
        <f t="shared" si="2"/>
        <v>271.84333333333331</v>
      </c>
      <c r="S92">
        <f t="shared" si="3"/>
        <v>6065.2423333333327</v>
      </c>
      <c r="W92">
        <f t="shared" si="4"/>
        <v>140.48319746859394</v>
      </c>
      <c r="X92">
        <f t="shared" si="5"/>
        <v>6.5993578728034663</v>
      </c>
      <c r="Y92">
        <f>STDEV(K92:M92)</f>
        <v>171.19933547281474</v>
      </c>
      <c r="Z92">
        <f>STDEV(H92:J92)</f>
        <v>4.1424744215665772</v>
      </c>
    </row>
    <row r="93" spans="1:26" x14ac:dyDescent="0.25">
      <c r="B93">
        <v>22601.184000000001</v>
      </c>
      <c r="C93">
        <v>22486.183000000001</v>
      </c>
      <c r="D93">
        <v>22445.431</v>
      </c>
      <c r="E93">
        <v>5646.0389999999998</v>
      </c>
      <c r="F93">
        <v>5357.0230000000001</v>
      </c>
      <c r="G93">
        <v>5711.5140000000001</v>
      </c>
      <c r="H93">
        <v>16842.156999999999</v>
      </c>
      <c r="I93">
        <v>16856.100999999999</v>
      </c>
      <c r="J93">
        <v>16689.136999999999</v>
      </c>
      <c r="K93">
        <v>16889.933000000001</v>
      </c>
      <c r="L93">
        <v>17356.706999999999</v>
      </c>
      <c r="M93">
        <v>17479.578000000001</v>
      </c>
      <c r="N93" t="s">
        <v>40</v>
      </c>
      <c r="P93">
        <f t="shared" si="0"/>
        <v>22510.932666666664</v>
      </c>
      <c r="Q93">
        <f t="shared" si="1"/>
        <v>5571.5253333333339</v>
      </c>
      <c r="R93">
        <f t="shared" si="2"/>
        <v>16795.798333333336</v>
      </c>
      <c r="S93">
        <f t="shared" si="3"/>
        <v>17242.072666666667</v>
      </c>
      <c r="W93">
        <f t="shared" si="4"/>
        <v>80.772264746838559</v>
      </c>
      <c r="X93">
        <f t="shared" si="5"/>
        <v>188.62709816018827</v>
      </c>
      <c r="Y93">
        <f t="shared" si="6"/>
        <v>92.63416651178629</v>
      </c>
      <c r="Z93">
        <f t="shared" si="7"/>
        <v>311.08853931048822</v>
      </c>
    </row>
    <row r="94" spans="1:26" x14ac:dyDescent="0.25">
      <c r="B94">
        <v>314.13600000000002</v>
      </c>
      <c r="C94">
        <v>311.54399999999998</v>
      </c>
      <c r="D94">
        <v>311.57100000000003</v>
      </c>
      <c r="E94">
        <v>185.24799999999999</v>
      </c>
      <c r="F94">
        <v>180.58699999999999</v>
      </c>
      <c r="G94">
        <v>184.25800000000001</v>
      </c>
      <c r="H94">
        <v>236.441</v>
      </c>
      <c r="I94">
        <v>243.02099999999999</v>
      </c>
      <c r="J94">
        <v>247.602</v>
      </c>
      <c r="K94">
        <v>281.04399999999998</v>
      </c>
      <c r="L94">
        <v>279.47800000000001</v>
      </c>
      <c r="M94">
        <v>285.11099999999999</v>
      </c>
      <c r="N94" t="s">
        <v>40</v>
      </c>
      <c r="P94">
        <f t="shared" si="0"/>
        <v>312.41700000000003</v>
      </c>
      <c r="Q94">
        <f t="shared" si="1"/>
        <v>183.36433333333332</v>
      </c>
      <c r="R94">
        <f t="shared" si="2"/>
        <v>242.35466666666665</v>
      </c>
      <c r="S94">
        <f t="shared" si="3"/>
        <v>281.87766666666664</v>
      </c>
      <c r="W94">
        <f t="shared" si="4"/>
        <v>1.4887588790667325</v>
      </c>
      <c r="X94">
        <f t="shared" si="5"/>
        <v>2.4556486583657189</v>
      </c>
      <c r="Y94">
        <f t="shared" si="6"/>
        <v>5.6102567083274657</v>
      </c>
      <c r="Z94">
        <f t="shared" si="7"/>
        <v>2.9075629543198707</v>
      </c>
    </row>
    <row r="95" spans="1:26" x14ac:dyDescent="0.25">
      <c r="B95">
        <v>280.827</v>
      </c>
      <c r="C95">
        <v>278.32299999999998</v>
      </c>
      <c r="D95">
        <v>266.86700000000002</v>
      </c>
      <c r="E95">
        <v>1237.1130000000001</v>
      </c>
      <c r="F95">
        <v>1079.2950000000001</v>
      </c>
      <c r="G95">
        <v>1356.383</v>
      </c>
      <c r="H95">
        <v>1478.06</v>
      </c>
      <c r="I95">
        <v>1422.1220000000001</v>
      </c>
      <c r="J95">
        <v>1425.3389999999999</v>
      </c>
      <c r="K95">
        <v>1418.7639999999999</v>
      </c>
      <c r="L95">
        <v>1465.116</v>
      </c>
      <c r="M95">
        <v>1435.08</v>
      </c>
      <c r="N95" t="s">
        <v>40</v>
      </c>
      <c r="P95">
        <f t="shared" si="0"/>
        <v>275.339</v>
      </c>
      <c r="Q95">
        <f t="shared" si="1"/>
        <v>1224.2636666666667</v>
      </c>
      <c r="R95">
        <f t="shared" si="2"/>
        <v>1441.8403333333333</v>
      </c>
      <c r="S95">
        <f t="shared" si="3"/>
        <v>1439.6533333333334</v>
      </c>
      <c r="W95">
        <f t="shared" si="4"/>
        <v>7.4430230417485452</v>
      </c>
      <c r="X95">
        <f t="shared" si="5"/>
        <v>138.99017577272622</v>
      </c>
      <c r="Y95">
        <f t="shared" si="6"/>
        <v>31.408366120085439</v>
      </c>
      <c r="Z95">
        <f t="shared" si="7"/>
        <v>23.51198650334198</v>
      </c>
    </row>
    <row r="99" spans="15:54" x14ac:dyDescent="0.25">
      <c r="P99">
        <v>7305.8980000000001</v>
      </c>
      <c r="Q99">
        <v>6822.3456666666671</v>
      </c>
      <c r="R99">
        <v>5094.2193333333335</v>
      </c>
      <c r="S99">
        <v>6520.232</v>
      </c>
      <c r="T99">
        <v>6635.3756666666668</v>
      </c>
      <c r="U99">
        <v>1107.1266666666668</v>
      </c>
      <c r="V99">
        <v>6304.7269999999999</v>
      </c>
      <c r="W99">
        <v>6925.8223333333326</v>
      </c>
      <c r="X99">
        <v>511.50933333333336</v>
      </c>
      <c r="Y99">
        <v>269.44933333333336</v>
      </c>
      <c r="Z99">
        <v>6175.1490000000003</v>
      </c>
      <c r="AA99">
        <v>339.565</v>
      </c>
      <c r="AB99">
        <v>10913.232000000002</v>
      </c>
      <c r="AC99">
        <v>288.17133333333328</v>
      </c>
      <c r="AD99">
        <v>281.87766666666664</v>
      </c>
      <c r="AE99">
        <v>6065.2423333333327</v>
      </c>
      <c r="AF99">
        <v>271.84333333333331</v>
      </c>
      <c r="AG99">
        <v>275.339</v>
      </c>
    </row>
    <row r="101" spans="15:54" x14ac:dyDescent="0.25">
      <c r="O101" t="s">
        <v>66</v>
      </c>
      <c r="AJ101" t="s">
        <v>67</v>
      </c>
    </row>
    <row r="102" spans="15:54" x14ac:dyDescent="0.25">
      <c r="P102" t="s">
        <v>48</v>
      </c>
      <c r="Q102" t="s">
        <v>49</v>
      </c>
      <c r="R102" t="s">
        <v>50</v>
      </c>
      <c r="S102" t="s">
        <v>51</v>
      </c>
      <c r="T102" t="s">
        <v>52</v>
      </c>
      <c r="U102" t="s">
        <v>53</v>
      </c>
      <c r="V102" t="s">
        <v>54</v>
      </c>
      <c r="W102" t="s">
        <v>55</v>
      </c>
      <c r="X102" t="s">
        <v>56</v>
      </c>
      <c r="Y102" t="s">
        <v>57</v>
      </c>
      <c r="Z102" t="s">
        <v>58</v>
      </c>
      <c r="AA102" t="s">
        <v>68</v>
      </c>
      <c r="AB102" s="3" t="s">
        <v>60</v>
      </c>
      <c r="AC102" t="s">
        <v>61</v>
      </c>
      <c r="AD102" s="3" t="s">
        <v>62</v>
      </c>
      <c r="AE102" t="s">
        <v>63</v>
      </c>
      <c r="AF102" t="s">
        <v>64</v>
      </c>
      <c r="AG102" t="s">
        <v>65</v>
      </c>
      <c r="AK102" t="s">
        <v>48</v>
      </c>
      <c r="AL102" t="s">
        <v>49</v>
      </c>
      <c r="AM102" t="s">
        <v>50</v>
      </c>
      <c r="AN102" t="s">
        <v>51</v>
      </c>
      <c r="AO102" t="s">
        <v>52</v>
      </c>
      <c r="AP102" t="s">
        <v>53</v>
      </c>
      <c r="AQ102" t="s">
        <v>54</v>
      </c>
      <c r="AR102" t="s">
        <v>55</v>
      </c>
      <c r="AS102" t="s">
        <v>56</v>
      </c>
      <c r="AT102" t="s">
        <v>57</v>
      </c>
      <c r="AU102" t="s">
        <v>58</v>
      </c>
      <c r="AV102" t="s">
        <v>59</v>
      </c>
      <c r="AW102" t="s">
        <v>60</v>
      </c>
      <c r="AX102" t="s">
        <v>61</v>
      </c>
      <c r="AY102" t="s">
        <v>62</v>
      </c>
      <c r="AZ102" t="s">
        <v>63</v>
      </c>
      <c r="BA102" t="s">
        <v>64</v>
      </c>
      <c r="BB102" t="s">
        <v>65</v>
      </c>
    </row>
    <row r="103" spans="15:54" x14ac:dyDescent="0.25">
      <c r="P103">
        <v>7305.8980000000001</v>
      </c>
      <c r="Q103">
        <v>6822.3456666666671</v>
      </c>
      <c r="R103">
        <v>5094.2193333333335</v>
      </c>
      <c r="S103">
        <v>6520.232</v>
      </c>
      <c r="T103">
        <v>6635.3756666666668</v>
      </c>
      <c r="U103">
        <v>1107.1266666666668</v>
      </c>
      <c r="V103">
        <v>6304.7269999999999</v>
      </c>
      <c r="W103">
        <v>6925.8223333333326</v>
      </c>
      <c r="X103">
        <v>511.50933333333336</v>
      </c>
      <c r="Y103">
        <v>269.44933333333336</v>
      </c>
      <c r="Z103">
        <v>6175.1490000000003</v>
      </c>
      <c r="AA103">
        <v>339.565</v>
      </c>
      <c r="AB103">
        <v>10913.232000000002</v>
      </c>
      <c r="AC103">
        <v>288.17133333333328</v>
      </c>
      <c r="AD103">
        <v>281.87766666666664</v>
      </c>
      <c r="AE103">
        <v>6065.2423333333327</v>
      </c>
      <c r="AF103">
        <v>271.84333333333331</v>
      </c>
      <c r="AG103">
        <v>275.339</v>
      </c>
      <c r="AK103">
        <v>434.82808599261381</v>
      </c>
      <c r="AL103">
        <v>164.54535516487041</v>
      </c>
      <c r="AM103">
        <v>1095.7431159032367</v>
      </c>
      <c r="AN103">
        <v>139.61151576069909</v>
      </c>
      <c r="AO103">
        <v>276.04444645080883</v>
      </c>
      <c r="AP103">
        <v>61.63009804740971</v>
      </c>
      <c r="AQ103">
        <v>127.46753813814712</v>
      </c>
      <c r="AR103">
        <v>124.95269595464214</v>
      </c>
      <c r="AS103">
        <v>8.9155814355168861</v>
      </c>
      <c r="AT103">
        <v>2.2616368703515239</v>
      </c>
      <c r="AU103">
        <v>171.0631267368862</v>
      </c>
      <c r="AV103">
        <v>3.4297479499228536</v>
      </c>
      <c r="AW103">
        <v>140.48319746859394</v>
      </c>
      <c r="AX103">
        <v>6.5993578728034663</v>
      </c>
      <c r="AY103">
        <v>2.9075629543198707</v>
      </c>
      <c r="AZ103">
        <v>171.19933547281474</v>
      </c>
      <c r="BA103">
        <v>4.1424744215665772</v>
      </c>
      <c r="BB103">
        <v>7.4430230417485452</v>
      </c>
    </row>
    <row r="125" spans="20:36" x14ac:dyDescent="0.25">
      <c r="T125" t="s">
        <v>69</v>
      </c>
      <c r="U125" t="s">
        <v>70</v>
      </c>
      <c r="V125" t="s">
        <v>71</v>
      </c>
      <c r="W125" t="s">
        <v>72</v>
      </c>
      <c r="X125" t="s">
        <v>73</v>
      </c>
      <c r="Y125" t="s">
        <v>74</v>
      </c>
      <c r="AB125" t="s">
        <v>54</v>
      </c>
      <c r="AC125" t="s">
        <v>56</v>
      </c>
      <c r="AD125" t="s">
        <v>63</v>
      </c>
      <c r="AE125" t="s">
        <v>65</v>
      </c>
      <c r="AG125" t="s">
        <v>54</v>
      </c>
      <c r="AH125" t="s">
        <v>56</v>
      </c>
      <c r="AI125" t="s">
        <v>63</v>
      </c>
      <c r="AJ125" t="s">
        <v>65</v>
      </c>
    </row>
    <row r="126" spans="20:36" x14ac:dyDescent="0.25">
      <c r="T126">
        <f>P103/R103</f>
        <v>1.4341545822722723</v>
      </c>
      <c r="U126">
        <f>S103/U103</f>
        <v>5.8893279299568242</v>
      </c>
      <c r="V126">
        <f>V103/X103</f>
        <v>12.325732081786711</v>
      </c>
      <c r="W126">
        <f>Y103/AA103</f>
        <v>0.79351326942804279</v>
      </c>
      <c r="X126">
        <f>AB103/AD103</f>
        <v>38.716199580669162</v>
      </c>
      <c r="Y126">
        <f>AE103/AG103</f>
        <v>22.028271815228983</v>
      </c>
      <c r="AB126">
        <v>6304.7269999999999</v>
      </c>
      <c r="AC126">
        <v>511.50933333333336</v>
      </c>
      <c r="AD126">
        <v>6065.2423333333327</v>
      </c>
      <c r="AE126">
        <v>275.339</v>
      </c>
      <c r="AG126">
        <v>127.46753813814712</v>
      </c>
      <c r="AH126">
        <v>8.9155814355168861</v>
      </c>
      <c r="AI126">
        <v>171.19933547281474</v>
      </c>
      <c r="AJ126">
        <v>4.1424744215665772</v>
      </c>
    </row>
    <row r="146" spans="28:38" x14ac:dyDescent="0.25">
      <c r="AB146" t="s">
        <v>54</v>
      </c>
      <c r="AC146" t="s">
        <v>56</v>
      </c>
      <c r="AD146" t="s">
        <v>58</v>
      </c>
      <c r="AE146" t="s">
        <v>68</v>
      </c>
      <c r="AI146" t="s">
        <v>54</v>
      </c>
      <c r="AJ146" t="s">
        <v>56</v>
      </c>
      <c r="AK146" t="s">
        <v>58</v>
      </c>
      <c r="AL146" t="s">
        <v>59</v>
      </c>
    </row>
    <row r="147" spans="28:38" x14ac:dyDescent="0.25">
      <c r="AB147">
        <v>6304.7269999999999</v>
      </c>
      <c r="AC147">
        <v>511.50933333333336</v>
      </c>
      <c r="AD147">
        <v>6175.1490000000003</v>
      </c>
      <c r="AE147">
        <v>339.565</v>
      </c>
      <c r="AI147">
        <v>127.46753813814712</v>
      </c>
      <c r="AJ147">
        <v>8.9155814355168861</v>
      </c>
      <c r="AK147">
        <v>171.0631267368862</v>
      </c>
      <c r="AL147">
        <v>3.4297479499228536</v>
      </c>
    </row>
    <row r="154" spans="28:38" x14ac:dyDescent="0.25">
      <c r="AH154">
        <f>(AB147/AC147)/(AD147/AE147)</f>
        <v>0.67777914579096055</v>
      </c>
    </row>
    <row r="163" spans="3:36" x14ac:dyDescent="0.25">
      <c r="AJ163" t="s">
        <v>75</v>
      </c>
    </row>
    <row r="165" spans="3:36" x14ac:dyDescent="0.25">
      <c r="AH165">
        <f>AB147/AC147</f>
        <v>12.325732081786711</v>
      </c>
      <c r="AJ165">
        <f>LOG(2.5/12.32)/LOG(0.677779)</f>
        <v>4.1007811464706485</v>
      </c>
    </row>
    <row r="171" spans="3:36" x14ac:dyDescent="0.25">
      <c r="D171" t="s">
        <v>77</v>
      </c>
    </row>
    <row r="172" spans="3:36" x14ac:dyDescent="0.25">
      <c r="C172" t="s">
        <v>76</v>
      </c>
      <c r="S172" t="s">
        <v>67</v>
      </c>
    </row>
    <row r="174" spans="3:36" x14ac:dyDescent="0.25">
      <c r="C174" t="s">
        <v>58</v>
      </c>
      <c r="D174" t="s">
        <v>68</v>
      </c>
      <c r="F174" t="s">
        <v>48</v>
      </c>
      <c r="G174" t="s">
        <v>50</v>
      </c>
      <c r="I174" t="s">
        <v>51</v>
      </c>
      <c r="J174" t="s">
        <v>53</v>
      </c>
      <c r="L174" t="s">
        <v>54</v>
      </c>
      <c r="M174" t="s">
        <v>56</v>
      </c>
      <c r="S174" t="s">
        <v>58</v>
      </c>
      <c r="T174" t="s">
        <v>59</v>
      </c>
      <c r="V174" t="s">
        <v>48</v>
      </c>
      <c r="W174" t="s">
        <v>50</v>
      </c>
      <c r="Y174" t="s">
        <v>51</v>
      </c>
      <c r="Z174" t="s">
        <v>53</v>
      </c>
      <c r="AB174" t="s">
        <v>54</v>
      </c>
      <c r="AC174" t="s">
        <v>56</v>
      </c>
    </row>
    <row r="175" spans="3:36" x14ac:dyDescent="0.25">
      <c r="C175">
        <v>6175.1490000000003</v>
      </c>
      <c r="D175">
        <v>339.565</v>
      </c>
      <c r="F175">
        <v>7305.8980000000001</v>
      </c>
      <c r="G175">
        <v>5094.2193333333335</v>
      </c>
      <c r="I175">
        <v>6520.232</v>
      </c>
      <c r="J175">
        <v>1107.1266666666668</v>
      </c>
      <c r="L175">
        <v>6304.7269999999999</v>
      </c>
      <c r="M175">
        <v>511.50933333333336</v>
      </c>
      <c r="S175">
        <v>171.0631267368862</v>
      </c>
      <c r="T175">
        <v>3.4297479499228536</v>
      </c>
      <c r="V175">
        <v>434.82808599261381</v>
      </c>
      <c r="W175">
        <v>1095.7431159032367</v>
      </c>
      <c r="Y175">
        <v>139.61151576069909</v>
      </c>
      <c r="Z175">
        <v>61.63009804740971</v>
      </c>
      <c r="AB175">
        <v>127.46753813814712</v>
      </c>
      <c r="AC175">
        <v>8.9155814355168861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5:U9"/>
  <sheetViews>
    <sheetView tabSelected="1" topLeftCell="H1" zoomScale="130" zoomScaleNormal="130" workbookViewId="0">
      <selection activeCell="T1" sqref="T1:T1048576"/>
    </sheetView>
  </sheetViews>
  <sheetFormatPr defaultColWidth="11" defaultRowHeight="15.75" x14ac:dyDescent="0.25"/>
  <sheetData>
    <row r="5" spans="1:21" x14ac:dyDescent="0.25">
      <c r="A5" t="s">
        <v>77</v>
      </c>
    </row>
    <row r="6" spans="1:21" x14ac:dyDescent="0.25">
      <c r="B6" t="s">
        <v>76</v>
      </c>
      <c r="O6" t="s">
        <v>67</v>
      </c>
    </row>
    <row r="8" spans="1:21" x14ac:dyDescent="0.25">
      <c r="A8" t="s">
        <v>68</v>
      </c>
      <c r="B8" t="s">
        <v>58</v>
      </c>
      <c r="C8" t="s">
        <v>50</v>
      </c>
      <c r="D8" t="s">
        <v>48</v>
      </c>
      <c r="E8" t="s">
        <v>53</v>
      </c>
      <c r="F8" t="s">
        <v>51</v>
      </c>
      <c r="G8" t="s">
        <v>56</v>
      </c>
      <c r="H8" t="s">
        <v>54</v>
      </c>
      <c r="N8" t="s">
        <v>59</v>
      </c>
      <c r="O8" t="s">
        <v>58</v>
      </c>
      <c r="P8" t="s">
        <v>50</v>
      </c>
      <c r="Q8" t="s">
        <v>48</v>
      </c>
      <c r="R8" t="s">
        <v>53</v>
      </c>
      <c r="S8" t="s">
        <v>51</v>
      </c>
      <c r="T8" t="s">
        <v>56</v>
      </c>
      <c r="U8" t="s">
        <v>54</v>
      </c>
    </row>
    <row r="9" spans="1:21" x14ac:dyDescent="0.25">
      <c r="A9">
        <v>339.565</v>
      </c>
      <c r="B9">
        <v>6175.1490000000003</v>
      </c>
      <c r="C9">
        <v>5094.2193333333335</v>
      </c>
      <c r="D9">
        <v>7305.8980000000001</v>
      </c>
      <c r="E9">
        <v>1107.1266666666668</v>
      </c>
      <c r="F9">
        <v>6520.232</v>
      </c>
      <c r="G9">
        <v>511.50933333333336</v>
      </c>
      <c r="H9">
        <v>6304.7269999999999</v>
      </c>
      <c r="N9">
        <v>3.4297479499228536</v>
      </c>
      <c r="O9">
        <v>171.0631267368862</v>
      </c>
      <c r="P9">
        <v>1095.7431159032367</v>
      </c>
      <c r="Q9">
        <v>434.82808599261381</v>
      </c>
      <c r="R9">
        <v>61.63009804740971</v>
      </c>
      <c r="S9">
        <v>139.61151576069909</v>
      </c>
      <c r="T9">
        <v>8.9155814355168861</v>
      </c>
      <c r="U9">
        <v>127.46753813814712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201111_AofA_E.coli</vt:lpstr>
      <vt:lpstr>fig4C plotting data_AofA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Diego Alba</cp:lastModifiedBy>
  <dcterms:created xsi:type="dcterms:W3CDTF">2020-11-11T22:27:24Z</dcterms:created>
  <dcterms:modified xsi:type="dcterms:W3CDTF">2020-11-12T03:00:11Z</dcterms:modified>
</cp:coreProperties>
</file>