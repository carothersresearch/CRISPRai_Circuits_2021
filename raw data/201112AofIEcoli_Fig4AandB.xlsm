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dalba_uw_edu/Documents/research/carothers/txtl data/BH4 and Co/"/>
    </mc:Choice>
  </mc:AlternateContent>
  <xr:revisionPtr revIDLastSave="25" documentId="13_ncr:40009_{0DC0F300-EBC7-0C4D-B5A1-835194D2FFA3}" xr6:coauthVersionLast="46" xr6:coauthVersionMax="46" xr10:uidLastSave="{755F089F-D106-48EF-BFE1-0209E97D5FD5}"/>
  <bookViews>
    <workbookView xWindow="-120" yWindow="-120" windowWidth="29040" windowHeight="15840" activeTab="1" xr2:uid="{00000000-000D-0000-FFFF-FFFF00000000}"/>
  </bookViews>
  <sheets>
    <sheet name="201112AofIEcoli_1" sheetId="1" r:id="rId1"/>
    <sheet name="Figure 4B plotting data" sheetId="2" r:id="rId2"/>
    <sheet name="Figure 4A plotting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2" l="1"/>
  <c r="C23" i="3"/>
  <c r="B23" i="3"/>
  <c r="C22" i="3"/>
  <c r="B22" i="3"/>
  <c r="M40" i="2"/>
  <c r="M39" i="2"/>
  <c r="M38" i="2"/>
  <c r="M37" i="2"/>
  <c r="M36" i="2"/>
  <c r="M35" i="2"/>
  <c r="M34" i="2"/>
  <c r="M33" i="2"/>
  <c r="A40" i="2"/>
  <c r="A39" i="2"/>
  <c r="A38" i="2"/>
  <c r="A37" i="2"/>
  <c r="A36" i="2"/>
  <c r="A35" i="2"/>
  <c r="A34" i="2"/>
  <c r="AG75" i="1"/>
  <c r="AF75" i="1"/>
  <c r="AE75" i="1"/>
  <c r="AD75" i="1"/>
  <c r="AC75" i="1"/>
  <c r="AB75" i="1"/>
  <c r="AA75" i="1"/>
  <c r="X75" i="1"/>
  <c r="W75" i="1"/>
  <c r="V75" i="1"/>
  <c r="U75" i="1"/>
  <c r="T75" i="1"/>
  <c r="S75" i="1"/>
  <c r="R75" i="1"/>
  <c r="AG74" i="1"/>
  <c r="AF74" i="1"/>
  <c r="AE74" i="1"/>
  <c r="AD74" i="1"/>
  <c r="AC74" i="1"/>
  <c r="AB74" i="1"/>
  <c r="AA74" i="1"/>
  <c r="X74" i="1"/>
  <c r="W74" i="1"/>
  <c r="V74" i="1"/>
  <c r="U74" i="1"/>
  <c r="T74" i="1"/>
  <c r="S74" i="1"/>
  <c r="R74" i="1"/>
  <c r="AG73" i="1"/>
  <c r="AF73" i="1"/>
  <c r="AE73" i="1"/>
  <c r="AD73" i="1"/>
  <c r="AC73" i="1"/>
  <c r="AB73" i="1"/>
  <c r="AA73" i="1"/>
  <c r="X73" i="1"/>
  <c r="W73" i="1"/>
  <c r="V73" i="1"/>
  <c r="U73" i="1"/>
  <c r="T73" i="1"/>
  <c r="S73" i="1"/>
  <c r="R73" i="1"/>
  <c r="AG72" i="1"/>
  <c r="AF72" i="1"/>
  <c r="AE72" i="1"/>
  <c r="AD72" i="1"/>
  <c r="AC72" i="1"/>
  <c r="AB72" i="1"/>
  <c r="AA72" i="1"/>
  <c r="X72" i="1"/>
  <c r="W72" i="1"/>
  <c r="V72" i="1"/>
  <c r="U72" i="1"/>
  <c r="T72" i="1"/>
  <c r="S72" i="1"/>
  <c r="R72" i="1"/>
  <c r="AG71" i="1"/>
  <c r="AF71" i="1"/>
  <c r="AE71" i="1"/>
  <c r="AD71" i="1"/>
  <c r="AC71" i="1"/>
  <c r="AB71" i="1"/>
  <c r="AA71" i="1"/>
  <c r="X71" i="1"/>
  <c r="W71" i="1"/>
  <c r="V71" i="1"/>
  <c r="U71" i="1"/>
  <c r="T71" i="1"/>
  <c r="S71" i="1"/>
  <c r="R71" i="1"/>
  <c r="AG70" i="1"/>
  <c r="AF70" i="1"/>
  <c r="AE70" i="1"/>
  <c r="AD70" i="1"/>
  <c r="AC70" i="1"/>
  <c r="AB70" i="1"/>
  <c r="AA70" i="1"/>
  <c r="X70" i="1"/>
  <c r="W70" i="1"/>
  <c r="V70" i="1"/>
  <c r="U70" i="1"/>
  <c r="T70" i="1"/>
  <c r="S70" i="1"/>
  <c r="R70" i="1"/>
  <c r="AG69" i="1"/>
  <c r="AF69" i="1"/>
  <c r="AE69" i="1"/>
  <c r="AD69" i="1"/>
  <c r="AC69" i="1"/>
  <c r="AB69" i="1"/>
  <c r="AA69" i="1"/>
  <c r="X69" i="1"/>
  <c r="W69" i="1"/>
  <c r="V69" i="1"/>
  <c r="U69" i="1"/>
  <c r="T69" i="1"/>
  <c r="S69" i="1"/>
  <c r="R69" i="1"/>
  <c r="AG68" i="1"/>
  <c r="AF68" i="1"/>
  <c r="AE68" i="1"/>
  <c r="AD68" i="1"/>
  <c r="AC68" i="1"/>
  <c r="AB68" i="1"/>
  <c r="X68" i="1"/>
  <c r="W68" i="1"/>
  <c r="V68" i="1"/>
  <c r="U68" i="1"/>
  <c r="T68" i="1"/>
  <c r="S68" i="1"/>
  <c r="AA68" i="1"/>
  <c r="R68" i="1"/>
</calcChain>
</file>

<file path=xl/sharedStrings.xml><?xml version="1.0" encoding="utf-8"?>
<sst xmlns="http://schemas.openxmlformats.org/spreadsheetml/2006/main" count="211" uniqueCount="85">
  <si>
    <t>Software Version</t>
  </si>
  <si>
    <t>2.07.17</t>
  </si>
  <si>
    <t>Experiment File Path:</t>
  </si>
  <si>
    <t>C:\Users\Public\Documents\Experiments\BT\201111_E.coliAofA.xpt</t>
  </si>
  <si>
    <t>Protocol File Path:</t>
  </si>
  <si>
    <t>C:\Users\Public\Documents\Protocols\OD600_GFP_RFP_35gain.prt</t>
  </si>
  <si>
    <t>Plate Number</t>
  </si>
  <si>
    <t>Plate 2</t>
  </si>
  <si>
    <t>Date</t>
  </si>
  <si>
    <t>Time</t>
  </si>
  <si>
    <t>Reader Type:</t>
  </si>
  <si>
    <t>Synergy HTX</t>
  </si>
  <si>
    <t>Reader Serial Number:</t>
  </si>
  <si>
    <t>Unknown</t>
  </si>
  <si>
    <t>Reading Type</t>
  </si>
  <si>
    <t>Reader</t>
  </si>
  <si>
    <t>Procedure Details</t>
  </si>
  <si>
    <t>Plate Type</t>
  </si>
  <si>
    <t>96 WELL PLATE</t>
  </si>
  <si>
    <t>Well Selection</t>
  </si>
  <si>
    <t>Runtime</t>
  </si>
  <si>
    <t>Eject plate on completion</t>
  </si>
  <si>
    <t>Read</t>
  </si>
  <si>
    <t>Absorbance Endpoint</t>
  </si>
  <si>
    <t>Full Plate</t>
  </si>
  <si>
    <t>Wavelengths:  600</t>
  </si>
  <si>
    <t>Read Speed: Normal,  Delay: 100 msec,  Measurements/Data Point: 8</t>
  </si>
  <si>
    <t>GFP+RFP</t>
  </si>
  <si>
    <t>Fluorescence Endpoint</t>
  </si>
  <si>
    <t>Filter Set 1</t>
  </si>
  <si>
    <t xml:space="preserve">    Excitation: 485/20,  Emission: 528/20</t>
  </si>
  <si>
    <t xml:space="preserve">    Optics: Bottom,  Gain: 35</t>
  </si>
  <si>
    <t>Filter Set 2</t>
  </si>
  <si>
    <t xml:space="preserve">    Excitation: 540/35,  Emission: 600/40</t>
  </si>
  <si>
    <t>Light Source: Tungsten,  Extended Dynamic Range</t>
  </si>
  <si>
    <t>Read Speed: Normal,  Delay: 100 msec,  Measurements/Data Point: 10</t>
  </si>
  <si>
    <t>Actual Temperature:</t>
  </si>
  <si>
    <t>Results</t>
  </si>
  <si>
    <t>A</t>
  </si>
  <si>
    <t>GFP+RFP:485/20,528/20</t>
  </si>
  <si>
    <t>GFP+RFP:540/35,600/40</t>
  </si>
  <si>
    <t>Ratio</t>
  </si>
  <si>
    <t>B</t>
  </si>
  <si>
    <t>C</t>
  </si>
  <si>
    <t>D</t>
  </si>
  <si>
    <t>E</t>
  </si>
  <si>
    <t>F</t>
  </si>
  <si>
    <t>G</t>
  </si>
  <si>
    <t>H</t>
  </si>
  <si>
    <t>Results_2</t>
  </si>
  <si>
    <t>002.J2</t>
  </si>
  <si>
    <t>001.J2</t>
  </si>
  <si>
    <t>001.J2_RR2-14</t>
  </si>
  <si>
    <t>001.J2.N26-3</t>
  </si>
  <si>
    <t>143.J2</t>
  </si>
  <si>
    <t>143.J3</t>
  </si>
  <si>
    <t>pBT012.N26-3_C1FFL</t>
  </si>
  <si>
    <t>C1FFL not ready for prime time yet</t>
  </si>
  <si>
    <t>stdevs</t>
  </si>
  <si>
    <t>averages</t>
  </si>
  <si>
    <t xml:space="preserve">Xerr = </t>
  </si>
  <si>
    <t>Yerr=</t>
  </si>
  <si>
    <t>Xerr</t>
  </si>
  <si>
    <t>stdev</t>
  </si>
  <si>
    <t>Averages</t>
  </si>
  <si>
    <t>pJF143.J3+085.J306</t>
  </si>
  <si>
    <t>pJF143.J3+085AAV</t>
  </si>
  <si>
    <t>J23117_on</t>
  </si>
  <si>
    <t>J23117_OFF</t>
  </si>
  <si>
    <t>RFP/OD600</t>
  </si>
  <si>
    <t>aTc from 201112,endpoint from201113</t>
  </si>
  <si>
    <t>143.J3+ 200nMaTc</t>
  </si>
  <si>
    <t>143.J3-aTc</t>
  </si>
  <si>
    <t>143.J3+J306(constitutive)</t>
  </si>
  <si>
    <t>143.J3+AAV(constitutive)</t>
  </si>
  <si>
    <t>AR</t>
  </si>
  <si>
    <t>143.J3+/-aTc</t>
  </si>
  <si>
    <t>143.J3 on/off target</t>
  </si>
  <si>
    <t>avRFP</t>
  </si>
  <si>
    <t>stdev(avRFP</t>
  </si>
  <si>
    <t>stdev(AR)</t>
  </si>
  <si>
    <t>Constitutive CRISPRa Off Target</t>
  </si>
  <si>
    <t>Constitutive CRISPRa on Target</t>
  </si>
  <si>
    <t>Inducible CRISPRa on Target uninduced</t>
  </si>
  <si>
    <t>Inducible CRISPRa on Target induced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</si>
</sst>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'201112AofIEcoli_1'!$R$67</c:f>
              <c:strCache>
                <c:ptCount val="1"/>
                <c:pt idx="0">
                  <c:v>002.J2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'201112AofIEcoli_1'!$Q$82:$Q$89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'201112AofIEcoli_1'!$R$82:$R$89</c:f>
              <c:numCache>
                <c:formatCode>General</c:formatCode>
                <c:ptCount val="8"/>
                <c:pt idx="0">
                  <c:v>230.554</c:v>
                </c:pt>
                <c:pt idx="1">
                  <c:v>253.59399999999997</c:v>
                </c:pt>
                <c:pt idx="2">
                  <c:v>412.19666666666666</c:v>
                </c:pt>
                <c:pt idx="3">
                  <c:v>971.75099999999986</c:v>
                </c:pt>
                <c:pt idx="4">
                  <c:v>2226.3626666666664</c:v>
                </c:pt>
                <c:pt idx="5">
                  <c:v>3991.9140000000002</c:v>
                </c:pt>
                <c:pt idx="6">
                  <c:v>4718.3143333333328</c:v>
                </c:pt>
                <c:pt idx="7">
                  <c:v>5233.4213333333337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C-CE45-836A-F29964D1B838}"/>
            </c:ext>
          </c:extLst>
        </c:ser>
        <c:ser>
          <c:idx val="1"/>
          <c:order val="1"/>
          <c:tx>
            <c:strRef>
              <c:f>'201112AofIEcoli_1'!$S$67</c:f>
              <c:strCache>
                <c:ptCount val="1"/>
                <c:pt idx="0">
                  <c:v>001.J2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'201112AofIEcoli_1'!$Q$82:$Q$89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'201112AofIEcoli_1'!$S$82:$S$89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3C-CE45-836A-F29964D1B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169984"/>
        <c:axId val="1568808320"/>
      </c:scatterChart>
      <c:valAx>
        <c:axId val="157616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808320"/>
        <c:crosses val="autoZero"/>
        <c:crossBetween val="midCat"/>
      </c:valAx>
      <c:valAx>
        <c:axId val="15688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616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'201112AofIEcoli_1'!$S$94</c:f>
              <c:strCache>
                <c:ptCount val="1"/>
                <c:pt idx="0">
                  <c:v>001.J2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'201112AofIEcoli_1'!$Q$95:$Q$102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'201112AofIEcoli_1'!$S$95:$S$102</c:f>
              <c:numCache>
                <c:formatCode>General</c:formatCode>
                <c:ptCount val="8"/>
                <c:pt idx="0">
                  <c:v>6379.1396666666669</c:v>
                </c:pt>
                <c:pt idx="1">
                  <c:v>4746.3746666666666</c:v>
                </c:pt>
                <c:pt idx="2">
                  <c:v>3133.5319999999997</c:v>
                </c:pt>
                <c:pt idx="3">
                  <c:v>2119.6503333333335</c:v>
                </c:pt>
                <c:pt idx="4">
                  <c:v>1692.0276666666666</c:v>
                </c:pt>
                <c:pt idx="5">
                  <c:v>1580.3946666666668</c:v>
                </c:pt>
                <c:pt idx="6">
                  <c:v>1609.4210000000003</c:v>
                </c:pt>
                <c:pt idx="7">
                  <c:v>1654.9870000000001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54-DD42-AAC0-59498A6C4355}"/>
            </c:ext>
          </c:extLst>
        </c:ser>
        <c:ser>
          <c:idx val="1"/>
          <c:order val="1"/>
          <c:tx>
            <c:strRef>
              <c:f>'201112AofIEcoli_1'!$T$94</c:f>
              <c:strCache>
                <c:ptCount val="1"/>
                <c:pt idx="0">
                  <c:v>001.J2_RR2-14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'201112AofIEcoli_1'!$Q$95:$Q$102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'201112AofIEcoli_1'!$T$95:$T$102</c:f>
              <c:numCache>
                <c:formatCode>General</c:formatCode>
                <c:ptCount val="8"/>
                <c:pt idx="0">
                  <c:v>17008.854333333333</c:v>
                </c:pt>
                <c:pt idx="1">
                  <c:v>15521.047333333334</c:v>
                </c:pt>
                <c:pt idx="2">
                  <c:v>13313.734666666665</c:v>
                </c:pt>
                <c:pt idx="3">
                  <c:v>10540.164000000001</c:v>
                </c:pt>
                <c:pt idx="4">
                  <c:v>8122.5403333333334</c:v>
                </c:pt>
                <c:pt idx="5">
                  <c:v>6888.121666666666</c:v>
                </c:pt>
                <c:pt idx="6">
                  <c:v>6911.7506666666668</c:v>
                </c:pt>
                <c:pt idx="7">
                  <c:v>6874.9069999999992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54-DD42-AAC0-59498A6C4355}"/>
            </c:ext>
          </c:extLst>
        </c:ser>
        <c:ser>
          <c:idx val="2"/>
          <c:order val="2"/>
          <c:tx>
            <c:strRef>
              <c:f>'201112AofIEcoli_1'!$U$94</c:f>
              <c:strCache>
                <c:ptCount val="1"/>
                <c:pt idx="0">
                  <c:v>001.J2.N26-3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'201112AofIEcoli_1'!$Q$95:$Q$102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'201112AofIEcoli_1'!$U$95:$U$102</c:f>
              <c:numCache>
                <c:formatCode>General</c:formatCode>
                <c:ptCount val="8"/>
                <c:pt idx="0">
                  <c:v>17632.919666666668</c:v>
                </c:pt>
                <c:pt idx="1">
                  <c:v>9374.996000000001</c:v>
                </c:pt>
                <c:pt idx="2">
                  <c:v>4331.7433333333329</c:v>
                </c:pt>
                <c:pt idx="3">
                  <c:v>2366.1210000000005</c:v>
                </c:pt>
                <c:pt idx="4">
                  <c:v>1768.6823333333332</c:v>
                </c:pt>
                <c:pt idx="5">
                  <c:v>1712.0690000000002</c:v>
                </c:pt>
                <c:pt idx="6">
                  <c:v>1762.7560000000001</c:v>
                </c:pt>
                <c:pt idx="7">
                  <c:v>1791.0139999999999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54-DD42-AAC0-59498A6C4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00448"/>
        <c:axId val="1603490160"/>
      </c:scatterChart>
      <c:valAx>
        <c:axId val="158620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490160"/>
        <c:crosses val="autoZero"/>
        <c:crossBetween val="midCat"/>
      </c:valAx>
      <c:valAx>
        <c:axId val="160349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20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AofI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4B plotting data'!$B$18</c:f>
              <c:strCache>
                <c:ptCount val="1"/>
                <c:pt idx="0">
                  <c:v>002.J2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4B plotting data'!$H$19:$H$26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plus>
            <c:minus>
              <c:numRef>
                <c:f>'Figure 4B plotting data'!$H$19:$H$26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data'!$B$19:$B$26</c:f>
              <c:numCache>
                <c:formatCode>General</c:formatCode>
                <c:ptCount val="8"/>
                <c:pt idx="0">
                  <c:v>21210.777666666665</c:v>
                </c:pt>
                <c:pt idx="1">
                  <c:v>20951.091666666664</c:v>
                </c:pt>
                <c:pt idx="2">
                  <c:v>21163.459666666666</c:v>
                </c:pt>
                <c:pt idx="3">
                  <c:v>20992.210666666666</c:v>
                </c:pt>
                <c:pt idx="4">
                  <c:v>20794.377666666667</c:v>
                </c:pt>
                <c:pt idx="5">
                  <c:v>20427.981333333333</c:v>
                </c:pt>
                <c:pt idx="6">
                  <c:v>20546.48</c:v>
                </c:pt>
                <c:pt idx="7">
                  <c:v>21141.141666666666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6-7C43-A98D-0064B56D44EF}"/>
            </c:ext>
          </c:extLst>
        </c:ser>
        <c:ser>
          <c:idx val="1"/>
          <c:order val="1"/>
          <c:tx>
            <c:strRef>
              <c:f>'Figure 4B plotting data'!$C$18</c:f>
              <c:strCache>
                <c:ptCount val="1"/>
                <c:pt idx="0">
                  <c:v>001.J2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data'!$C$19:$C$26</c:f>
              <c:numCache>
                <c:formatCode>General</c:formatCode>
                <c:ptCount val="8"/>
                <c:pt idx="0">
                  <c:v>6379.1396666666669</c:v>
                </c:pt>
                <c:pt idx="1">
                  <c:v>4746.3746666666666</c:v>
                </c:pt>
                <c:pt idx="2">
                  <c:v>3133.5319999999997</c:v>
                </c:pt>
                <c:pt idx="3">
                  <c:v>2119.6503333333335</c:v>
                </c:pt>
                <c:pt idx="4">
                  <c:v>1692.0276666666666</c:v>
                </c:pt>
                <c:pt idx="5">
                  <c:v>1580.3946666666668</c:v>
                </c:pt>
                <c:pt idx="6">
                  <c:v>1609.4210000000003</c:v>
                </c:pt>
                <c:pt idx="7">
                  <c:v>1654.9870000000001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46-7C43-A98D-0064B56D44EF}"/>
            </c:ext>
          </c:extLst>
        </c:ser>
        <c:ser>
          <c:idx val="2"/>
          <c:order val="2"/>
          <c:tx>
            <c:strRef>
              <c:f>'Figure 4B plotting data'!$D$18</c:f>
              <c:strCache>
                <c:ptCount val="1"/>
                <c:pt idx="0">
                  <c:v>001.J2_RR2-14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data'!$D$19:$D$26</c:f>
              <c:numCache>
                <c:formatCode>General</c:formatCode>
                <c:ptCount val="8"/>
                <c:pt idx="0">
                  <c:v>17008.854333333333</c:v>
                </c:pt>
                <c:pt idx="1">
                  <c:v>15521.047333333334</c:v>
                </c:pt>
                <c:pt idx="2">
                  <c:v>13313.734666666665</c:v>
                </c:pt>
                <c:pt idx="3">
                  <c:v>10540.164000000001</c:v>
                </c:pt>
                <c:pt idx="4">
                  <c:v>8122.5403333333334</c:v>
                </c:pt>
                <c:pt idx="5">
                  <c:v>6888.121666666666</c:v>
                </c:pt>
                <c:pt idx="6">
                  <c:v>6911.7506666666668</c:v>
                </c:pt>
                <c:pt idx="7">
                  <c:v>6874.9069999999992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46-7C43-A98D-0064B56D44EF}"/>
            </c:ext>
          </c:extLst>
        </c:ser>
        <c:ser>
          <c:idx val="3"/>
          <c:order val="3"/>
          <c:tx>
            <c:strRef>
              <c:f>'Figure 4B plotting data'!$E$18</c:f>
              <c:strCache>
                <c:ptCount val="1"/>
                <c:pt idx="0">
                  <c:v>001.J2.N26-3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4B plotting data'!$K$19:$K$26</c:f>
                <c:numCache>
                  <c:formatCode>General</c:formatCode>
                  <c:ptCount val="8"/>
                  <c:pt idx="0">
                    <c:v>163.16640500523721</c:v>
                  </c:pt>
                  <c:pt idx="1">
                    <c:v>622.71550826762041</c:v>
                  </c:pt>
                  <c:pt idx="2">
                    <c:v>76.378954597017739</c:v>
                  </c:pt>
                  <c:pt idx="3">
                    <c:v>79.176307838898452</c:v>
                  </c:pt>
                  <c:pt idx="4">
                    <c:v>56.206693572325847</c:v>
                  </c:pt>
                  <c:pt idx="5">
                    <c:v>48.990968239053984</c:v>
                  </c:pt>
                  <c:pt idx="6">
                    <c:v>43.528870833046014</c:v>
                  </c:pt>
                  <c:pt idx="7">
                    <c:v>37.25144242844835</c:v>
                  </c:pt>
                </c:numCache>
              </c:numRef>
            </c:plus>
            <c:minus>
              <c:numRef>
                <c:f>'Figure 4B plotting data'!$K$19:$K$26</c:f>
                <c:numCache>
                  <c:formatCode>General</c:formatCode>
                  <c:ptCount val="8"/>
                  <c:pt idx="0">
                    <c:v>163.16640500523721</c:v>
                  </c:pt>
                  <c:pt idx="1">
                    <c:v>622.71550826762041</c:v>
                  </c:pt>
                  <c:pt idx="2">
                    <c:v>76.378954597017739</c:v>
                  </c:pt>
                  <c:pt idx="3">
                    <c:v>79.176307838898452</c:v>
                  </c:pt>
                  <c:pt idx="4">
                    <c:v>56.206693572325847</c:v>
                  </c:pt>
                  <c:pt idx="5">
                    <c:v>48.990968239053984</c:v>
                  </c:pt>
                  <c:pt idx="6">
                    <c:v>43.528870833046014</c:v>
                  </c:pt>
                  <c:pt idx="7">
                    <c:v>37.25144242844835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data'!$E$19:$E$26</c:f>
              <c:numCache>
                <c:formatCode>General</c:formatCode>
                <c:ptCount val="8"/>
                <c:pt idx="0">
                  <c:v>17632.919666666668</c:v>
                </c:pt>
                <c:pt idx="1">
                  <c:v>9374.996000000001</c:v>
                </c:pt>
                <c:pt idx="2">
                  <c:v>4331.7433333333329</c:v>
                </c:pt>
                <c:pt idx="3">
                  <c:v>2366.1210000000005</c:v>
                </c:pt>
                <c:pt idx="4">
                  <c:v>1768.6823333333332</c:v>
                </c:pt>
                <c:pt idx="5">
                  <c:v>1712.0690000000002</c:v>
                </c:pt>
                <c:pt idx="6">
                  <c:v>1762.7560000000001</c:v>
                </c:pt>
                <c:pt idx="7">
                  <c:v>1791.0139999999999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46-7C43-A98D-0064B56D4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478016"/>
        <c:axId val="1603923968"/>
      </c:scatterChart>
      <c:valAx>
        <c:axId val="160747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923968"/>
        <c:crosses val="autoZero"/>
        <c:crossBetween val="midCat"/>
      </c:valAx>
      <c:valAx>
        <c:axId val="16039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478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4B plotting data'!$B$32</c:f>
              <c:strCache>
                <c:ptCount val="1"/>
                <c:pt idx="0">
                  <c:v>002.J2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4B plotting data'!$H$33:$H$40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plus>
            <c:minus>
              <c:numRef>
                <c:f>'Figure 4B plotting data'!$H$33:$H$40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'Figure 4B plotting data'!$M$33:$M$40</c:f>
                <c:numCache>
                  <c:formatCode>General</c:formatCode>
                  <c:ptCount val="8"/>
                  <c:pt idx="0">
                    <c:v>8.0186496992276429E-4</c:v>
                  </c:pt>
                  <c:pt idx="1">
                    <c:v>1.5536697084192685E-3</c:v>
                  </c:pt>
                  <c:pt idx="2">
                    <c:v>4.4979109902495941E-3</c:v>
                  </c:pt>
                  <c:pt idx="3">
                    <c:v>1.7428650605612578E-2</c:v>
                  </c:pt>
                  <c:pt idx="4">
                    <c:v>3.1143036144428853E-2</c:v>
                  </c:pt>
                  <c:pt idx="5">
                    <c:v>7.0134580996512416E-2</c:v>
                  </c:pt>
                  <c:pt idx="6">
                    <c:v>1.9405817236961911E-2</c:v>
                  </c:pt>
                  <c:pt idx="7">
                    <c:v>1.9510106407066553E-2</c:v>
                  </c:pt>
                </c:numCache>
              </c:numRef>
            </c:plus>
            <c:minus>
              <c:numRef>
                <c:f>'Figure 4B plotting data'!$M$33:$M$40</c:f>
                <c:numCache>
                  <c:formatCode>General</c:formatCode>
                  <c:ptCount val="8"/>
                  <c:pt idx="0">
                    <c:v>8.0186496992276429E-4</c:v>
                  </c:pt>
                  <c:pt idx="1">
                    <c:v>1.5536697084192685E-3</c:v>
                  </c:pt>
                  <c:pt idx="2">
                    <c:v>4.4979109902495941E-3</c:v>
                  </c:pt>
                  <c:pt idx="3">
                    <c:v>1.7428650605612578E-2</c:v>
                  </c:pt>
                  <c:pt idx="4">
                    <c:v>3.1143036144428853E-2</c:v>
                  </c:pt>
                  <c:pt idx="5">
                    <c:v>7.0134580996512416E-2</c:v>
                  </c:pt>
                  <c:pt idx="6">
                    <c:v>1.9405817236961911E-2</c:v>
                  </c:pt>
                  <c:pt idx="7">
                    <c:v>1.9510106407066553E-2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data'!$B$33:$B$40</c:f>
              <c:numCache>
                <c:formatCode>General</c:formatCode>
                <c:ptCount val="8"/>
                <c:pt idx="0">
                  <c:v>21210.777666666665</c:v>
                </c:pt>
                <c:pt idx="1">
                  <c:v>20951.091666666664</c:v>
                </c:pt>
                <c:pt idx="2">
                  <c:v>21163.459666666666</c:v>
                </c:pt>
                <c:pt idx="3">
                  <c:v>20992.210666666666</c:v>
                </c:pt>
                <c:pt idx="4">
                  <c:v>20794.377666666667</c:v>
                </c:pt>
                <c:pt idx="5">
                  <c:v>20427.981333333333</c:v>
                </c:pt>
                <c:pt idx="6">
                  <c:v>20546.48</c:v>
                </c:pt>
                <c:pt idx="7">
                  <c:v>21141.141666666666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0-2148-AD9C-9AE93131FEB0}"/>
            </c:ext>
          </c:extLst>
        </c:ser>
        <c:ser>
          <c:idx val="1"/>
          <c:order val="1"/>
          <c:tx>
            <c:strRef>
              <c:f>'Figure 4B plotting data'!$C$32</c:f>
              <c:strCache>
                <c:ptCount val="1"/>
                <c:pt idx="0">
                  <c:v>001.J2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data'!$C$33:$C$40</c:f>
              <c:numCache>
                <c:formatCode>General</c:formatCode>
                <c:ptCount val="8"/>
                <c:pt idx="0">
                  <c:v>6379.1396666666669</c:v>
                </c:pt>
                <c:pt idx="1">
                  <c:v>4746.3746666666666</c:v>
                </c:pt>
                <c:pt idx="2">
                  <c:v>3133.5319999999997</c:v>
                </c:pt>
                <c:pt idx="3">
                  <c:v>2119.6503333333335</c:v>
                </c:pt>
                <c:pt idx="4">
                  <c:v>1692.0276666666666</c:v>
                </c:pt>
                <c:pt idx="5">
                  <c:v>1580.3946666666668</c:v>
                </c:pt>
                <c:pt idx="6">
                  <c:v>1609.4210000000003</c:v>
                </c:pt>
                <c:pt idx="7">
                  <c:v>1654.9870000000001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0-2148-AD9C-9AE93131FEB0}"/>
            </c:ext>
          </c:extLst>
        </c:ser>
        <c:ser>
          <c:idx val="2"/>
          <c:order val="2"/>
          <c:tx>
            <c:strRef>
              <c:f>'Figure 4B plotting data'!$D$32</c:f>
              <c:strCache>
                <c:ptCount val="1"/>
                <c:pt idx="0">
                  <c:v>001.J2_RR2-14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data'!$D$33:$D$40</c:f>
              <c:numCache>
                <c:formatCode>General</c:formatCode>
                <c:ptCount val="8"/>
                <c:pt idx="0">
                  <c:v>17008.854333333333</c:v>
                </c:pt>
                <c:pt idx="1">
                  <c:v>15521.047333333334</c:v>
                </c:pt>
                <c:pt idx="2">
                  <c:v>13313.734666666665</c:v>
                </c:pt>
                <c:pt idx="3">
                  <c:v>10540.164000000001</c:v>
                </c:pt>
                <c:pt idx="4">
                  <c:v>8122.5403333333334</c:v>
                </c:pt>
                <c:pt idx="5">
                  <c:v>6888.121666666666</c:v>
                </c:pt>
                <c:pt idx="6">
                  <c:v>6911.7506666666668</c:v>
                </c:pt>
                <c:pt idx="7">
                  <c:v>6874.9069999999992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50-2148-AD9C-9AE93131FEB0}"/>
            </c:ext>
          </c:extLst>
        </c:ser>
        <c:ser>
          <c:idx val="3"/>
          <c:order val="3"/>
          <c:tx>
            <c:strRef>
              <c:f>'Figure 4B plotting data'!$E$32</c:f>
              <c:strCache>
                <c:ptCount val="1"/>
                <c:pt idx="0">
                  <c:v>001.J2.N26-3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data'!$E$33:$E$40</c:f>
              <c:numCache>
                <c:formatCode>General</c:formatCode>
                <c:ptCount val="8"/>
                <c:pt idx="0">
                  <c:v>17632.919666666668</c:v>
                </c:pt>
                <c:pt idx="1">
                  <c:v>9374.996000000001</c:v>
                </c:pt>
                <c:pt idx="2">
                  <c:v>4331.7433333333329</c:v>
                </c:pt>
                <c:pt idx="3">
                  <c:v>2366.1210000000005</c:v>
                </c:pt>
                <c:pt idx="4">
                  <c:v>1768.6823333333332</c:v>
                </c:pt>
                <c:pt idx="5">
                  <c:v>1712.0690000000002</c:v>
                </c:pt>
                <c:pt idx="6">
                  <c:v>1762.7560000000001</c:v>
                </c:pt>
                <c:pt idx="7">
                  <c:v>1791.0139999999999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50-2148-AD9C-9AE93131F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330576"/>
        <c:axId val="1585853472"/>
      </c:scatterChart>
      <c:valAx>
        <c:axId val="160833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853472"/>
        <c:crosses val="autoZero"/>
        <c:crossBetween val="midCat"/>
      </c:valAx>
      <c:valAx>
        <c:axId val="158585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33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'Figure 4A plotting data'!$A$17</c:f>
              <c:strCache>
                <c:ptCount val="1"/>
                <c:pt idx="0">
                  <c:v>averages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'Figure 4A plotting data'!$B$18:$E$18</c:f>
                <c:numCache>
                  <c:formatCode>General</c:formatCode>
                  <c:ptCount val="4"/>
                  <c:pt idx="0">
                    <c:v>95.426696523212613</c:v>
                  </c:pt>
                  <c:pt idx="1">
                    <c:v>1.1302243140191339</c:v>
                  </c:pt>
                  <c:pt idx="2">
                    <c:v>176.74217482065026</c:v>
                  </c:pt>
                  <c:pt idx="3">
                    <c:v>3.5513116356261003</c:v>
                  </c:pt>
                </c:numCache>
              </c:numRef>
            </c:plus>
            <c:minus>
              <c:numRef>
                <c:f>'Figure 4A plotting data'!$B$18:$E$18</c:f>
                <c:numCache>
                  <c:formatCode>General</c:formatCode>
                  <c:ptCount val="4"/>
                  <c:pt idx="0">
                    <c:v>95.426696523212613</c:v>
                  </c:pt>
                  <c:pt idx="1">
                    <c:v>1.1302243140191339</c:v>
                  </c:pt>
                  <c:pt idx="2">
                    <c:v>176.74217482065026</c:v>
                  </c:pt>
                  <c:pt idx="3">
                    <c:v>3.5513116356261003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'Figure 4A plotting data'!$B$16:$E$16</c:f>
              <c:strCache>
                <c:ptCount val="4"/>
                <c:pt idx="0">
                  <c:v>143.J3+ 200nMaTc</c:v>
                </c:pt>
                <c:pt idx="1">
                  <c:v>143.J3-aTc</c:v>
                </c:pt>
                <c:pt idx="2">
                  <c:v>143.J3+J306(constitutive)</c:v>
                </c:pt>
                <c:pt idx="3">
                  <c:v>143.J3+AAV(constitutive)</c:v>
                </c:pt>
              </c:strCache>
            </c:strRef>
          </c:cat>
          <c:val>
            <c:numRef>
              <c:f>'Figure 4A plotting data'!$B$17:$E$17</c:f>
              <c:numCache>
                <c:formatCode>General</c:formatCode>
                <c:ptCount val="4"/>
                <c:pt idx="0">
                  <c:v>9928.6253333333334</c:v>
                </c:pt>
                <c:pt idx="1">
                  <c:v>176.28700000000001</c:v>
                </c:pt>
                <c:pt idx="2">
                  <c:v>11886.871333333334</c:v>
                </c:pt>
                <c:pt idx="3">
                  <c:v>294.03166666666664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F-E34A-9DBA-B7ED30355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2002096"/>
        <c:axId val="1608306784"/>
      </c:barChart>
      <c:catAx>
        <c:axId val="151200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306784"/>
        <c:crosses val="autoZero"/>
        <c:auto val="1"/>
        <c:lblAlgn val="ctr"/>
        <c:lblOffset val="100"/>
        <c:noMultiLvlLbl val="0"/>
      </c:catAx>
      <c:valAx>
        <c:axId val="16083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200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4A plotting data'!$B$40</c:f>
              <c:strCache>
                <c:ptCount val="1"/>
                <c:pt idx="0">
                  <c:v>143.J3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4A plotting data'!$C$41:$C$48</c:f>
                <c:numCache>
                  <c:formatCode>General</c:formatCode>
                  <c:ptCount val="8"/>
                  <c:pt idx="0">
                    <c:v>1.1302243140191339</c:v>
                  </c:pt>
                  <c:pt idx="1">
                    <c:v>31.344556805501878</c:v>
                  </c:pt>
                  <c:pt idx="2">
                    <c:v>64.121900785405032</c:v>
                  </c:pt>
                  <c:pt idx="3">
                    <c:v>88.781793569026959</c:v>
                  </c:pt>
                  <c:pt idx="4">
                    <c:v>299.47017640882592</c:v>
                  </c:pt>
                  <c:pt idx="5">
                    <c:v>237.05512155263276</c:v>
                  </c:pt>
                  <c:pt idx="6">
                    <c:v>188.36109790240647</c:v>
                  </c:pt>
                  <c:pt idx="7">
                    <c:v>95.426696523212613</c:v>
                  </c:pt>
                </c:numCache>
              </c:numRef>
            </c:plus>
            <c:minus>
              <c:numRef>
                <c:f>'Figure 4A plotting data'!$C$41:$C$48</c:f>
                <c:numCache>
                  <c:formatCode>General</c:formatCode>
                  <c:ptCount val="8"/>
                  <c:pt idx="0">
                    <c:v>1.1302243140191339</c:v>
                  </c:pt>
                  <c:pt idx="1">
                    <c:v>31.344556805501878</c:v>
                  </c:pt>
                  <c:pt idx="2">
                    <c:v>64.121900785405032</c:v>
                  </c:pt>
                  <c:pt idx="3">
                    <c:v>88.781793569026959</c:v>
                  </c:pt>
                  <c:pt idx="4">
                    <c:v>299.47017640882592</c:v>
                  </c:pt>
                  <c:pt idx="5">
                    <c:v>237.05512155263276</c:v>
                  </c:pt>
                  <c:pt idx="6">
                    <c:v>188.36109790240647</c:v>
                  </c:pt>
                  <c:pt idx="7">
                    <c:v>95.426696523212613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4A plotting data'!$A$41:$A$48</c:f>
              <c:numCache>
                <c:formatCode>General</c:formatCode>
                <c:ptCount val="8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  <c:pt idx="5">
                  <c:v>40</c:v>
                </c:pt>
                <c:pt idx="6">
                  <c:v>60</c:v>
                </c:pt>
                <c:pt idx="7">
                  <c:v>200</c:v>
                </c:pt>
              </c:numCache>
            </c:numRef>
          </c:xVal>
          <c:yVal>
            <c:numRef>
              <c:f>'Figure 4A plotting data'!$B$41:$B$48</c:f>
              <c:numCache>
                <c:formatCode>General</c:formatCode>
                <c:ptCount val="8"/>
                <c:pt idx="0">
                  <c:v>176.28700000000001</c:v>
                </c:pt>
                <c:pt idx="1">
                  <c:v>444.31466666666665</c:v>
                </c:pt>
                <c:pt idx="2">
                  <c:v>1159.0796666666665</c:v>
                </c:pt>
                <c:pt idx="3">
                  <c:v>2594.8626666666664</c:v>
                </c:pt>
                <c:pt idx="4">
                  <c:v>5118.5266666666676</c:v>
                </c:pt>
                <c:pt idx="5">
                  <c:v>8315.0026666666654</c:v>
                </c:pt>
                <c:pt idx="6">
                  <c:v>9381.4879999999994</c:v>
                </c:pt>
                <c:pt idx="7">
                  <c:v>9928.6253333333334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8-D240-B2E2-D92034505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074448"/>
        <c:axId val="1605906656"/>
      </c:scatterChart>
      <c:valAx>
        <c:axId val="163007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906656"/>
        <c:crosses val="autoZero"/>
        <c:crossBetween val="midCat"/>
      </c:valAx>
      <c:valAx>
        <c:axId val="16059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7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336550</xdr:colOff>
      <xdr:row>47</xdr:row>
      <xdr:rowOff>6350</xdr:rowOff>
    </xdr:from>
    <xdr:to>
      <xdr:col>25</xdr:col>
      <xdr:colOff>781050</xdr:colOff>
      <xdr:row>60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F7C10B-EDE2-DF4A-98C3-E44727528C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44450</xdr:colOff>
      <xdr:row>88</xdr:row>
      <xdr:rowOff>146050</xdr:rowOff>
    </xdr:from>
    <xdr:to>
      <xdr:col>26</xdr:col>
      <xdr:colOff>488950</xdr:colOff>
      <xdr:row>102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D85E61-9CCF-9B4D-B91D-6198BAF46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16414</xdr:colOff>
      <xdr:row>18</xdr:row>
      <xdr:rowOff>148207</xdr:rowOff>
    </xdr:from>
    <xdr:to>
      <xdr:col>19</xdr:col>
      <xdr:colOff>460914</xdr:colOff>
      <xdr:row>32</xdr:row>
      <xdr:rowOff>46606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71F95A-7780-5E44-8367-1F519F19EB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691310</xdr:colOff>
      <xdr:row>40</xdr:row>
      <xdr:rowOff>24203</xdr:rowOff>
    </xdr:from>
    <xdr:to>
      <xdr:col>12</xdr:col>
      <xdr:colOff>303122</xdr:colOff>
      <xdr:row>53</xdr:row>
      <xdr:rowOff>119573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F6D737-FEA8-7C43-902C-A74EE9999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177800</xdr:colOff>
      <xdr:row>8</xdr:row>
      <xdr:rowOff>50800</xdr:rowOff>
    </xdr:from>
    <xdr:to>
      <xdr:col>13</xdr:col>
      <xdr:colOff>622300</xdr:colOff>
      <xdr:row>21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F0A379-6507-5A42-9541-4BFA11C26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37</xdr:row>
      <xdr:rowOff>0</xdr:rowOff>
    </xdr:from>
    <xdr:to>
      <xdr:col>8</xdr:col>
      <xdr:colOff>508000</xdr:colOff>
      <xdr:row>50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E1C296-821B-9048-8DFC-9EE46F82A7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AL122"/>
  <sheetViews>
    <sheetView topLeftCell="J64" workbookViewId="0">
      <selection activeCell="Q68" sqref="Q68:Q75"/>
    </sheetView>
  </sheetViews>
  <sheetFormatPr defaultColWidth="11" defaultRowHeight="15.75" x14ac:dyDescent="0.25"/>
  <sheetData>
    <row r="3" spans="1:2" x14ac:dyDescent="0.25">
      <c r="A3" t="s">
        <v>0</v>
      </c>
      <c r="B3" t="s">
        <v>1</v>
      </c>
    </row>
    <row r="7" spans="1:2" x14ac:dyDescent="0.25">
      <c r="A7" t="s">
        <v>2</v>
      </c>
      <c r="B7" t="s">
        <v>3</v>
      </c>
    </row>
    <row r="8" spans="1:2" x14ac:dyDescent="0.25">
      <c r="A8" t="s">
        <v>4</v>
      </c>
      <c r="B8" t="s">
        <v>5</v>
      </c>
    </row>
    <row r="12" spans="1:2" x14ac:dyDescent="0.25">
      <c r="A12" t="s">
        <v>6</v>
      </c>
      <c r="B12" t="s">
        <v>7</v>
      </c>
    </row>
    <row r="13" spans="1:2" x14ac:dyDescent="0.25">
      <c r="A13" t="s">
        <v>8</v>
      </c>
      <c r="B13" s="1">
        <v>44147</v>
      </c>
    </row>
    <row r="14" spans="1:2" x14ac:dyDescent="0.25">
      <c r="A14" t="s">
        <v>9</v>
      </c>
      <c r="B14" s="2">
        <v>0.5588657407407408</v>
      </c>
    </row>
    <row r="15" spans="1:2" x14ac:dyDescent="0.25">
      <c r="A15" t="s">
        <v>10</v>
      </c>
      <c r="B15" t="s">
        <v>11</v>
      </c>
    </row>
    <row r="16" spans="1:2" x14ac:dyDescent="0.25">
      <c r="A16" t="s">
        <v>12</v>
      </c>
      <c r="B16" t="s">
        <v>13</v>
      </c>
    </row>
    <row r="17" spans="1:2" x14ac:dyDescent="0.25">
      <c r="A17" t="s">
        <v>14</v>
      </c>
      <c r="B17" t="s">
        <v>15</v>
      </c>
    </row>
    <row r="19" spans="1:2" x14ac:dyDescent="0.25">
      <c r="A19" t="s">
        <v>16</v>
      </c>
    </row>
    <row r="21" spans="1:2" x14ac:dyDescent="0.25">
      <c r="A21" t="s">
        <v>17</v>
      </c>
      <c r="B21" t="s">
        <v>18</v>
      </c>
    </row>
    <row r="22" spans="1:2" x14ac:dyDescent="0.25">
      <c r="A22" t="s">
        <v>19</v>
      </c>
      <c r="B22" t="s">
        <v>20</v>
      </c>
    </row>
    <row r="23" spans="1:2" x14ac:dyDescent="0.25">
      <c r="A23" t="s">
        <v>21</v>
      </c>
    </row>
    <row r="24" spans="1:2" x14ac:dyDescent="0.25">
      <c r="A24" t="s">
        <v>22</v>
      </c>
      <c r="B24" t="s">
        <v>23</v>
      </c>
    </row>
    <row r="25" spans="1:2" x14ac:dyDescent="0.25">
      <c r="B25" t="s">
        <v>24</v>
      </c>
    </row>
    <row r="26" spans="1:2" x14ac:dyDescent="0.25">
      <c r="B26" t="s">
        <v>25</v>
      </c>
    </row>
    <row r="27" spans="1:2" x14ac:dyDescent="0.25">
      <c r="B27" t="s">
        <v>26</v>
      </c>
    </row>
    <row r="28" spans="1:2" x14ac:dyDescent="0.25">
      <c r="A28" t="s">
        <v>22</v>
      </c>
      <c r="B28" t="s">
        <v>27</v>
      </c>
    </row>
    <row r="29" spans="1:2" x14ac:dyDescent="0.25">
      <c r="B29" t="s">
        <v>28</v>
      </c>
    </row>
    <row r="30" spans="1:2" x14ac:dyDescent="0.25">
      <c r="B30" t="s">
        <v>24</v>
      </c>
    </row>
    <row r="31" spans="1:2" x14ac:dyDescent="0.25">
      <c r="B31" t="s">
        <v>29</v>
      </c>
    </row>
    <row r="32" spans="1:2" x14ac:dyDescent="0.25">
      <c r="B32" t="s">
        <v>30</v>
      </c>
    </row>
    <row r="33" spans="1:2" x14ac:dyDescent="0.25">
      <c r="B33" t="s">
        <v>31</v>
      </c>
    </row>
    <row r="34" spans="1:2" x14ac:dyDescent="0.25">
      <c r="B34" t="s">
        <v>32</v>
      </c>
    </row>
    <row r="35" spans="1:2" x14ac:dyDescent="0.25">
      <c r="B35" t="s">
        <v>33</v>
      </c>
    </row>
    <row r="36" spans="1:2" x14ac:dyDescent="0.25">
      <c r="B36" t="s">
        <v>31</v>
      </c>
    </row>
    <row r="37" spans="1:2" x14ac:dyDescent="0.25">
      <c r="B37" t="s">
        <v>34</v>
      </c>
    </row>
    <row r="38" spans="1:2" x14ac:dyDescent="0.25">
      <c r="B38" t="s">
        <v>35</v>
      </c>
    </row>
    <row r="42" spans="1:2" x14ac:dyDescent="0.25">
      <c r="A42" t="s">
        <v>36</v>
      </c>
      <c r="B42">
        <v>20.399999999999999</v>
      </c>
    </row>
    <row r="46" spans="1:2" x14ac:dyDescent="0.25">
      <c r="A46" t="s">
        <v>36</v>
      </c>
      <c r="B46">
        <v>20.5</v>
      </c>
    </row>
    <row r="50" spans="1:38" x14ac:dyDescent="0.25">
      <c r="A50" t="s">
        <v>36</v>
      </c>
      <c r="B50">
        <v>20.5</v>
      </c>
    </row>
    <row r="52" spans="1:38" x14ac:dyDescent="0.25">
      <c r="A52" t="s">
        <v>37</v>
      </c>
    </row>
    <row r="53" spans="1:38" x14ac:dyDescent="0.25">
      <c r="B53">
        <v>1</v>
      </c>
      <c r="C53">
        <v>2</v>
      </c>
      <c r="D53">
        <v>3</v>
      </c>
      <c r="E53">
        <v>4</v>
      </c>
      <c r="F53">
        <v>5</v>
      </c>
      <c r="G53">
        <v>6</v>
      </c>
      <c r="H53">
        <v>7</v>
      </c>
      <c r="I53">
        <v>8</v>
      </c>
      <c r="J53">
        <v>9</v>
      </c>
      <c r="K53">
        <v>10</v>
      </c>
      <c r="L53">
        <v>11</v>
      </c>
      <c r="M53">
        <v>12</v>
      </c>
    </row>
    <row r="54" spans="1:38" x14ac:dyDescent="0.25">
      <c r="A54" t="s">
        <v>38</v>
      </c>
      <c r="B54">
        <v>1.07</v>
      </c>
      <c r="C54">
        <v>1.028</v>
      </c>
      <c r="D54">
        <v>1.04</v>
      </c>
      <c r="E54">
        <v>0.92</v>
      </c>
      <c r="F54">
        <v>0.93100000000000005</v>
      </c>
      <c r="G54">
        <v>0.90700000000000003</v>
      </c>
      <c r="H54">
        <v>0.96799999999999997</v>
      </c>
      <c r="I54">
        <v>0.93700000000000006</v>
      </c>
      <c r="J54">
        <v>0.94599999999999995</v>
      </c>
      <c r="K54">
        <v>0.92600000000000005</v>
      </c>
      <c r="L54">
        <v>0.93600000000000005</v>
      </c>
      <c r="M54">
        <v>0.94199999999999995</v>
      </c>
      <c r="N54">
        <v>600</v>
      </c>
    </row>
    <row r="55" spans="1:38" x14ac:dyDescent="0.25">
      <c r="B55">
        <v>224</v>
      </c>
      <c r="C55">
        <v>233</v>
      </c>
      <c r="D55">
        <v>243</v>
      </c>
      <c r="E55">
        <v>258</v>
      </c>
      <c r="F55">
        <v>266</v>
      </c>
      <c r="G55">
        <v>257</v>
      </c>
      <c r="H55">
        <v>241</v>
      </c>
      <c r="I55">
        <v>241</v>
      </c>
      <c r="J55">
        <v>241</v>
      </c>
      <c r="K55">
        <v>241</v>
      </c>
      <c r="L55">
        <v>238</v>
      </c>
      <c r="M55">
        <v>241</v>
      </c>
      <c r="N55" t="s">
        <v>39</v>
      </c>
    </row>
    <row r="56" spans="1:38" x14ac:dyDescent="0.25">
      <c r="B56">
        <v>21817</v>
      </c>
      <c r="C56">
        <v>21931</v>
      </c>
      <c r="D56">
        <v>22777</v>
      </c>
      <c r="E56">
        <v>5845</v>
      </c>
      <c r="F56">
        <v>5959</v>
      </c>
      <c r="G56">
        <v>5788</v>
      </c>
      <c r="H56">
        <v>16352</v>
      </c>
      <c r="I56">
        <v>15891</v>
      </c>
      <c r="J56">
        <v>16232</v>
      </c>
      <c r="K56">
        <v>16203</v>
      </c>
      <c r="L56">
        <v>16464</v>
      </c>
      <c r="M56">
        <v>16787</v>
      </c>
      <c r="N56" t="s">
        <v>40</v>
      </c>
      <c r="R56">
        <v>20393.531999999999</v>
      </c>
      <c r="S56">
        <v>21335.733</v>
      </c>
      <c r="T56">
        <v>21903.067999999999</v>
      </c>
      <c r="U56">
        <v>6353.9520000000002</v>
      </c>
      <c r="V56">
        <v>6403.3959999999997</v>
      </c>
      <c r="W56">
        <v>6380.0709999999999</v>
      </c>
      <c r="X56">
        <v>16901.292000000001</v>
      </c>
      <c r="Y56">
        <v>16957.634999999998</v>
      </c>
      <c r="Z56">
        <v>17167.635999999999</v>
      </c>
      <c r="AA56">
        <v>17499.73</v>
      </c>
      <c r="AB56">
        <v>17584.108</v>
      </c>
      <c r="AC56">
        <v>17814.920999999998</v>
      </c>
      <c r="AD56">
        <v>286.714</v>
      </c>
      <c r="AE56">
        <v>285.84399999999999</v>
      </c>
      <c r="AF56">
        <v>284.15499999999997</v>
      </c>
      <c r="AG56">
        <v>176.261</v>
      </c>
      <c r="AH56">
        <v>175.17</v>
      </c>
      <c r="AI56">
        <v>177.43</v>
      </c>
      <c r="AJ56">
        <v>232.22200000000001</v>
      </c>
      <c r="AK56">
        <v>226.75200000000001</v>
      </c>
      <c r="AL56">
        <v>232.68799999999999</v>
      </c>
    </row>
    <row r="57" spans="1:38" x14ac:dyDescent="0.25">
      <c r="B57">
        <v>20393.531999999999</v>
      </c>
      <c r="C57">
        <v>21335.733</v>
      </c>
      <c r="D57">
        <v>21903.067999999999</v>
      </c>
      <c r="E57">
        <v>6353.9520000000002</v>
      </c>
      <c r="F57">
        <v>6403.3959999999997</v>
      </c>
      <c r="G57">
        <v>6380.0709999999999</v>
      </c>
      <c r="H57">
        <v>16901.292000000001</v>
      </c>
      <c r="I57">
        <v>16957.634999999998</v>
      </c>
      <c r="J57">
        <v>17167.635999999999</v>
      </c>
      <c r="K57">
        <v>17499.73</v>
      </c>
      <c r="L57">
        <v>17584.108</v>
      </c>
      <c r="M57">
        <v>17814.920999999998</v>
      </c>
      <c r="N57" t="s">
        <v>41</v>
      </c>
      <c r="R57">
        <v>20312.914000000001</v>
      </c>
      <c r="S57">
        <v>21256.634999999998</v>
      </c>
      <c r="T57">
        <v>21283.725999999999</v>
      </c>
      <c r="U57">
        <v>4643.8810000000003</v>
      </c>
      <c r="V57">
        <v>4814.9750000000004</v>
      </c>
      <c r="W57">
        <v>4780.268</v>
      </c>
      <c r="X57">
        <v>15423.486000000001</v>
      </c>
      <c r="Y57">
        <v>15513.931</v>
      </c>
      <c r="Z57">
        <v>15625.725</v>
      </c>
      <c r="AA57">
        <v>8801.6929999999993</v>
      </c>
      <c r="AB57">
        <v>9285.7919999999995</v>
      </c>
      <c r="AC57">
        <v>10037.503000000001</v>
      </c>
      <c r="AD57">
        <v>333.94099999999997</v>
      </c>
      <c r="AE57">
        <v>343.90899999999999</v>
      </c>
      <c r="AF57">
        <v>346.19299999999998</v>
      </c>
      <c r="AG57">
        <v>467.50400000000002</v>
      </c>
      <c r="AH57">
        <v>456.786</v>
      </c>
      <c r="AI57">
        <v>408.654</v>
      </c>
      <c r="AJ57">
        <v>260.55399999999997</v>
      </c>
      <c r="AK57">
        <v>252.203</v>
      </c>
      <c r="AL57">
        <v>248.02500000000001</v>
      </c>
    </row>
    <row r="58" spans="1:38" x14ac:dyDescent="0.25">
      <c r="A58" t="s">
        <v>42</v>
      </c>
      <c r="B58">
        <v>1.0580000000000001</v>
      </c>
      <c r="C58">
        <v>1.036</v>
      </c>
      <c r="D58">
        <v>1.056</v>
      </c>
      <c r="E58">
        <v>0.90700000000000003</v>
      </c>
      <c r="F58">
        <v>0.92400000000000004</v>
      </c>
      <c r="G58">
        <v>0.91</v>
      </c>
      <c r="H58">
        <v>0.97799999999999998</v>
      </c>
      <c r="I58">
        <v>0.95799999999999996</v>
      </c>
      <c r="J58">
        <v>0.94899999999999995</v>
      </c>
      <c r="K58">
        <v>0.92100000000000004</v>
      </c>
      <c r="L58">
        <v>0.92100000000000004</v>
      </c>
      <c r="M58">
        <v>0.90700000000000003</v>
      </c>
      <c r="N58">
        <v>600</v>
      </c>
      <c r="R58">
        <v>21065.321</v>
      </c>
      <c r="S58">
        <v>21077.223999999998</v>
      </c>
      <c r="T58">
        <v>21347.833999999999</v>
      </c>
      <c r="U58">
        <v>3063.547</v>
      </c>
      <c r="V58">
        <v>3178.0740000000001</v>
      </c>
      <c r="W58">
        <v>3158.9749999999999</v>
      </c>
      <c r="X58">
        <v>13301.075999999999</v>
      </c>
      <c r="Y58">
        <v>13266.646000000001</v>
      </c>
      <c r="Z58">
        <v>13373.482</v>
      </c>
      <c r="AA58">
        <v>4259.7960000000003</v>
      </c>
      <c r="AB58">
        <v>4323.5420000000004</v>
      </c>
      <c r="AC58">
        <v>4411.8919999999998</v>
      </c>
      <c r="AD58">
        <v>529.09400000000005</v>
      </c>
      <c r="AE58">
        <v>518.18700000000001</v>
      </c>
      <c r="AF58">
        <v>560.67600000000004</v>
      </c>
      <c r="AG58">
        <v>1167.9459999999999</v>
      </c>
      <c r="AH58">
        <v>1218.307</v>
      </c>
      <c r="AI58">
        <v>1090.9860000000001</v>
      </c>
      <c r="AJ58">
        <v>415.90899999999999</v>
      </c>
      <c r="AK58">
        <v>406.53</v>
      </c>
      <c r="AL58">
        <v>414.15100000000001</v>
      </c>
    </row>
    <row r="59" spans="1:38" x14ac:dyDescent="0.25">
      <c r="B59">
        <v>227</v>
      </c>
      <c r="C59">
        <v>240</v>
      </c>
      <c r="D59">
        <v>243</v>
      </c>
      <c r="E59">
        <v>254</v>
      </c>
      <c r="F59">
        <v>256</v>
      </c>
      <c r="G59">
        <v>253</v>
      </c>
      <c r="H59">
        <v>241</v>
      </c>
      <c r="I59">
        <v>237</v>
      </c>
      <c r="J59">
        <v>236</v>
      </c>
      <c r="K59">
        <v>247</v>
      </c>
      <c r="L59">
        <v>253</v>
      </c>
      <c r="M59">
        <v>249</v>
      </c>
      <c r="N59" t="s">
        <v>39</v>
      </c>
      <c r="R59">
        <v>21194.223000000002</v>
      </c>
      <c r="S59">
        <v>20820.522000000001</v>
      </c>
      <c r="T59">
        <v>20961.886999999999</v>
      </c>
      <c r="U59">
        <v>2056.5329999999999</v>
      </c>
      <c r="V59">
        <v>2151.386</v>
      </c>
      <c r="W59">
        <v>2151.0320000000002</v>
      </c>
      <c r="X59">
        <v>10472.575000000001</v>
      </c>
      <c r="Y59">
        <v>10519.903</v>
      </c>
      <c r="Z59">
        <v>10628.013999999999</v>
      </c>
      <c r="AA59">
        <v>2295.17</v>
      </c>
      <c r="AB59">
        <v>2351.663</v>
      </c>
      <c r="AC59">
        <v>2451.5300000000002</v>
      </c>
      <c r="AD59">
        <v>920.06899999999996</v>
      </c>
      <c r="AE59">
        <v>935.66600000000005</v>
      </c>
      <c r="AF59">
        <v>1081.7070000000001</v>
      </c>
      <c r="AG59">
        <v>2688.74</v>
      </c>
      <c r="AH59">
        <v>2512.252</v>
      </c>
      <c r="AI59">
        <v>2583.596</v>
      </c>
      <c r="AJ59">
        <v>1000.324</v>
      </c>
      <c r="AK59">
        <v>944.45600000000002</v>
      </c>
      <c r="AL59">
        <v>970.47299999999996</v>
      </c>
    </row>
    <row r="60" spans="1:38" x14ac:dyDescent="0.25">
      <c r="B60">
        <v>21487</v>
      </c>
      <c r="C60">
        <v>22024</v>
      </c>
      <c r="D60">
        <v>22482</v>
      </c>
      <c r="E60">
        <v>4212</v>
      </c>
      <c r="F60">
        <v>4450</v>
      </c>
      <c r="G60">
        <v>4351</v>
      </c>
      <c r="H60">
        <v>15078</v>
      </c>
      <c r="I60">
        <v>14867</v>
      </c>
      <c r="J60">
        <v>14821</v>
      </c>
      <c r="K60">
        <v>8109</v>
      </c>
      <c r="L60">
        <v>8555</v>
      </c>
      <c r="M60">
        <v>9100</v>
      </c>
      <c r="N60" t="s">
        <v>40</v>
      </c>
      <c r="R60">
        <v>20894.614000000001</v>
      </c>
      <c r="S60">
        <v>20641.810000000001</v>
      </c>
      <c r="T60">
        <v>20846.708999999999</v>
      </c>
      <c r="U60">
        <v>1626.395</v>
      </c>
      <c r="V60">
        <v>1728.799</v>
      </c>
      <c r="W60">
        <v>1720.8889999999999</v>
      </c>
      <c r="X60">
        <v>8013.3789999999999</v>
      </c>
      <c r="Y60">
        <v>8267.6910000000007</v>
      </c>
      <c r="Z60">
        <v>8086.5510000000004</v>
      </c>
      <c r="AA60">
        <v>1709.954</v>
      </c>
      <c r="AB60">
        <v>1774.1210000000001</v>
      </c>
      <c r="AC60">
        <v>1821.972</v>
      </c>
      <c r="AD60">
        <v>1613.6669999999999</v>
      </c>
      <c r="AE60">
        <v>1725.59</v>
      </c>
      <c r="AF60">
        <v>1927.973</v>
      </c>
      <c r="AG60">
        <v>4850.3249999999998</v>
      </c>
      <c r="AH60">
        <v>5441.66</v>
      </c>
      <c r="AI60">
        <v>5063.5950000000003</v>
      </c>
      <c r="AJ60">
        <v>2266.8240000000001</v>
      </c>
      <c r="AK60">
        <v>2186.6640000000002</v>
      </c>
      <c r="AL60">
        <v>2225.6</v>
      </c>
    </row>
    <row r="61" spans="1:38" x14ac:dyDescent="0.25">
      <c r="B61">
        <v>20312.914000000001</v>
      </c>
      <c r="C61">
        <v>21256.634999999998</v>
      </c>
      <c r="D61">
        <v>21283.725999999999</v>
      </c>
      <c r="E61">
        <v>4643.8810000000003</v>
      </c>
      <c r="F61">
        <v>4814.9750000000004</v>
      </c>
      <c r="G61">
        <v>4780.268</v>
      </c>
      <c r="H61">
        <v>15423.486000000001</v>
      </c>
      <c r="I61">
        <v>15513.931</v>
      </c>
      <c r="J61">
        <v>15625.725</v>
      </c>
      <c r="K61">
        <v>8801.6929999999993</v>
      </c>
      <c r="L61">
        <v>9285.7919999999995</v>
      </c>
      <c r="M61">
        <v>10037.503000000001</v>
      </c>
      <c r="N61" t="s">
        <v>41</v>
      </c>
      <c r="R61">
        <v>20359.098000000002</v>
      </c>
      <c r="S61">
        <v>20338.02</v>
      </c>
      <c r="T61">
        <v>20586.826000000001</v>
      </c>
      <c r="U61">
        <v>1527.3050000000001</v>
      </c>
      <c r="V61">
        <v>1615.001</v>
      </c>
      <c r="W61">
        <v>1598.8779999999999</v>
      </c>
      <c r="X61">
        <v>6839.0559999999996</v>
      </c>
      <c r="Y61">
        <v>6785.7529999999997</v>
      </c>
      <c r="Z61">
        <v>7039.5559999999996</v>
      </c>
      <c r="AA61">
        <v>1655.981</v>
      </c>
      <c r="AB61">
        <v>1746.4939999999999</v>
      </c>
      <c r="AC61">
        <v>1733.732</v>
      </c>
      <c r="AD61">
        <v>3269.0819999999999</v>
      </c>
      <c r="AE61">
        <v>3207.9520000000002</v>
      </c>
      <c r="AF61">
        <v>3859.3870000000002</v>
      </c>
      <c r="AG61">
        <v>8286.2150000000001</v>
      </c>
      <c r="AH61">
        <v>8565.1370000000006</v>
      </c>
      <c r="AI61">
        <v>8093.6559999999999</v>
      </c>
      <c r="AJ61">
        <v>4111.7250000000004</v>
      </c>
      <c r="AK61">
        <v>3937.1689999999999</v>
      </c>
      <c r="AL61">
        <v>3926.848</v>
      </c>
    </row>
    <row r="62" spans="1:38" x14ac:dyDescent="0.25">
      <c r="A62" t="s">
        <v>43</v>
      </c>
      <c r="B62">
        <v>1.07</v>
      </c>
      <c r="C62">
        <v>1.0720000000000001</v>
      </c>
      <c r="D62">
        <v>1.0760000000000001</v>
      </c>
      <c r="E62">
        <v>0.93200000000000005</v>
      </c>
      <c r="F62">
        <v>0.94699999999999995</v>
      </c>
      <c r="G62">
        <v>0.92500000000000004</v>
      </c>
      <c r="H62">
        <v>1.0129999999999999</v>
      </c>
      <c r="I62">
        <v>0.99</v>
      </c>
      <c r="J62">
        <v>1.0049999999999999</v>
      </c>
      <c r="K62">
        <v>0.93100000000000005</v>
      </c>
      <c r="L62">
        <v>0.93300000000000005</v>
      </c>
      <c r="M62">
        <v>0.92200000000000004</v>
      </c>
      <c r="N62">
        <v>600</v>
      </c>
      <c r="R62">
        <v>20586.971000000001</v>
      </c>
      <c r="S62">
        <v>20466.021000000001</v>
      </c>
      <c r="T62">
        <v>20586.448</v>
      </c>
      <c r="U62">
        <v>1566.5260000000001</v>
      </c>
      <c r="V62">
        <v>1634.136</v>
      </c>
      <c r="W62">
        <v>1627.6010000000001</v>
      </c>
      <c r="X62">
        <v>6818.8540000000003</v>
      </c>
      <c r="Y62">
        <v>6897.5739999999996</v>
      </c>
      <c r="Z62">
        <v>7018.8239999999996</v>
      </c>
      <c r="AA62">
        <v>1719.462</v>
      </c>
      <c r="AB62">
        <v>1806.5160000000001</v>
      </c>
      <c r="AC62">
        <v>1762.29</v>
      </c>
      <c r="AD62">
        <v>4423.2539999999999</v>
      </c>
      <c r="AE62">
        <v>4330.8779999999997</v>
      </c>
      <c r="AF62">
        <v>4489.84</v>
      </c>
      <c r="AG62">
        <v>9278.4889999999996</v>
      </c>
      <c r="AH62">
        <v>9598.8889999999992</v>
      </c>
      <c r="AI62">
        <v>9267.0859999999993</v>
      </c>
      <c r="AJ62">
        <v>4811.5280000000002</v>
      </c>
      <c r="AK62">
        <v>4707.4930000000004</v>
      </c>
      <c r="AL62">
        <v>4635.9219999999996</v>
      </c>
    </row>
    <row r="63" spans="1:38" x14ac:dyDescent="0.25">
      <c r="B63">
        <v>253</v>
      </c>
      <c r="C63">
        <v>257</v>
      </c>
      <c r="D63">
        <v>260</v>
      </c>
      <c r="E63">
        <v>249</v>
      </c>
      <c r="F63">
        <v>245</v>
      </c>
      <c r="G63">
        <v>237</v>
      </c>
      <c r="H63">
        <v>247</v>
      </c>
      <c r="I63">
        <v>239</v>
      </c>
      <c r="J63">
        <v>243</v>
      </c>
      <c r="K63">
        <v>238</v>
      </c>
      <c r="L63">
        <v>233</v>
      </c>
      <c r="M63">
        <v>235</v>
      </c>
      <c r="N63" t="s">
        <v>39</v>
      </c>
      <c r="R63">
        <v>21236.756000000001</v>
      </c>
      <c r="S63">
        <v>21062.736000000001</v>
      </c>
      <c r="T63">
        <v>21123.933000000001</v>
      </c>
      <c r="U63">
        <v>1634.509</v>
      </c>
      <c r="V63">
        <v>1700.491</v>
      </c>
      <c r="W63">
        <v>1629.961</v>
      </c>
      <c r="X63">
        <v>6825.3630000000003</v>
      </c>
      <c r="Y63">
        <v>6813.5919999999996</v>
      </c>
      <c r="Z63">
        <v>6985.7659999999996</v>
      </c>
      <c r="AA63">
        <v>1749.8879999999999</v>
      </c>
      <c r="AB63">
        <v>1800.6610000000001</v>
      </c>
      <c r="AC63">
        <v>1822.4929999999999</v>
      </c>
      <c r="AD63">
        <v>5208.357</v>
      </c>
      <c r="AE63">
        <v>5092.1009999999997</v>
      </c>
      <c r="AF63">
        <v>5221.9870000000001</v>
      </c>
      <c r="AG63">
        <v>9844.3259999999991</v>
      </c>
      <c r="AH63">
        <v>9909.3220000000001</v>
      </c>
      <c r="AI63">
        <v>10032.227999999999</v>
      </c>
      <c r="AJ63">
        <v>5277.2629999999999</v>
      </c>
      <c r="AK63">
        <v>5188.8649999999998</v>
      </c>
      <c r="AL63">
        <v>5234.1360000000004</v>
      </c>
    </row>
    <row r="64" spans="1:38" x14ac:dyDescent="0.25">
      <c r="B64">
        <v>22542</v>
      </c>
      <c r="C64">
        <v>22599</v>
      </c>
      <c r="D64">
        <v>22966</v>
      </c>
      <c r="E64">
        <v>2854</v>
      </c>
      <c r="F64">
        <v>3009</v>
      </c>
      <c r="G64">
        <v>2923</v>
      </c>
      <c r="H64">
        <v>13470</v>
      </c>
      <c r="I64">
        <v>13130</v>
      </c>
      <c r="J64">
        <v>13435</v>
      </c>
      <c r="K64">
        <v>3968</v>
      </c>
      <c r="L64">
        <v>4033</v>
      </c>
      <c r="M64">
        <v>4066</v>
      </c>
      <c r="N64" t="s">
        <v>40</v>
      </c>
    </row>
    <row r="65" spans="1:33" x14ac:dyDescent="0.25">
      <c r="B65">
        <v>21065.321</v>
      </c>
      <c r="C65">
        <v>21077.223999999998</v>
      </c>
      <c r="D65">
        <v>21347.833999999999</v>
      </c>
      <c r="E65">
        <v>3063.547</v>
      </c>
      <c r="F65">
        <v>3178.0740000000001</v>
      </c>
      <c r="G65">
        <v>3158.9749999999999</v>
      </c>
      <c r="H65">
        <v>13301.075999999999</v>
      </c>
      <c r="I65">
        <v>13266.646000000001</v>
      </c>
      <c r="J65">
        <v>13373.482</v>
      </c>
      <c r="K65">
        <v>4259.7960000000003</v>
      </c>
      <c r="L65">
        <v>4323.5420000000004</v>
      </c>
      <c r="M65">
        <v>4411.8919999999998</v>
      </c>
      <c r="N65" t="s">
        <v>41</v>
      </c>
    </row>
    <row r="66" spans="1:33" x14ac:dyDescent="0.25">
      <c r="A66" t="s">
        <v>44</v>
      </c>
      <c r="B66">
        <v>1.08</v>
      </c>
      <c r="C66">
        <v>1.08</v>
      </c>
      <c r="D66">
        <v>1.1020000000000001</v>
      </c>
      <c r="E66">
        <v>0.93799999999999994</v>
      </c>
      <c r="F66">
        <v>0.93799999999999994</v>
      </c>
      <c r="G66">
        <v>0.93500000000000005</v>
      </c>
      <c r="H66">
        <v>1.0009999999999999</v>
      </c>
      <c r="I66">
        <v>0.98499999999999999</v>
      </c>
      <c r="J66">
        <v>0.995</v>
      </c>
      <c r="K66">
        <v>0.93400000000000005</v>
      </c>
      <c r="L66">
        <v>0.92</v>
      </c>
      <c r="M66">
        <v>0.92800000000000005</v>
      </c>
      <c r="N66">
        <v>600</v>
      </c>
    </row>
    <row r="67" spans="1:33" x14ac:dyDescent="0.25">
      <c r="B67">
        <v>271</v>
      </c>
      <c r="C67">
        <v>271</v>
      </c>
      <c r="D67">
        <v>280</v>
      </c>
      <c r="E67">
        <v>253</v>
      </c>
      <c r="F67">
        <v>244</v>
      </c>
      <c r="G67">
        <v>247</v>
      </c>
      <c r="H67">
        <v>256</v>
      </c>
      <c r="I67">
        <v>247</v>
      </c>
      <c r="J67">
        <v>253</v>
      </c>
      <c r="K67">
        <v>236</v>
      </c>
      <c r="L67">
        <v>238</v>
      </c>
      <c r="M67">
        <v>247</v>
      </c>
      <c r="N67" t="s">
        <v>39</v>
      </c>
      <c r="R67" t="s">
        <v>50</v>
      </c>
      <c r="S67" t="s">
        <v>51</v>
      </c>
      <c r="T67" t="s">
        <v>52</v>
      </c>
      <c r="U67" t="s">
        <v>53</v>
      </c>
      <c r="V67" t="s">
        <v>54</v>
      </c>
      <c r="W67" t="s">
        <v>55</v>
      </c>
      <c r="X67" t="s">
        <v>56</v>
      </c>
    </row>
    <row r="68" spans="1:33" x14ac:dyDescent="0.25">
      <c r="B68">
        <v>22894</v>
      </c>
      <c r="C68">
        <v>22482</v>
      </c>
      <c r="D68">
        <v>23100</v>
      </c>
      <c r="E68">
        <v>1928</v>
      </c>
      <c r="F68">
        <v>2018</v>
      </c>
      <c r="G68">
        <v>2011</v>
      </c>
      <c r="H68">
        <v>10482</v>
      </c>
      <c r="I68">
        <v>10360</v>
      </c>
      <c r="J68">
        <v>10577</v>
      </c>
      <c r="K68">
        <v>2143</v>
      </c>
      <c r="L68">
        <v>2164</v>
      </c>
      <c r="M68">
        <v>2276</v>
      </c>
      <c r="N68" t="s">
        <v>40</v>
      </c>
      <c r="Q68">
        <v>0</v>
      </c>
      <c r="R68">
        <f>AVERAGE(R56:T56)</f>
        <v>21210.777666666665</v>
      </c>
      <c r="S68">
        <f>AVERAGE(U56:W56)</f>
        <v>6379.1396666666669</v>
      </c>
      <c r="T68">
        <f>AVERAGE(X56:Z56)</f>
        <v>17008.854333333333</v>
      </c>
      <c r="U68">
        <f>AVERAGE(AA56:AC56)</f>
        <v>17632.919666666668</v>
      </c>
      <c r="V68">
        <f>AVERAGE(AD56:AF56)</f>
        <v>285.57099999999997</v>
      </c>
      <c r="W68">
        <f>AVERAGE(AG56:AI56)</f>
        <v>176.28700000000001</v>
      </c>
      <c r="X68">
        <f>AVERAGE(AJ56:AL56)</f>
        <v>230.554</v>
      </c>
      <c r="AA68">
        <f>STDEV(R56:T56)</f>
        <v>762.48613778896561</v>
      </c>
      <c r="AB68">
        <f>STDEV(U56:W56)</f>
        <v>24.735153533651676</v>
      </c>
      <c r="AC68">
        <f>STDEV(X56:Z56)</f>
        <v>140.36504787279864</v>
      </c>
      <c r="AD68">
        <f>STDEV(AA56:AC56)</f>
        <v>163.16640500523721</v>
      </c>
      <c r="AE68">
        <f>STDEV(AD56:AF56)</f>
        <v>1.3011598671954323</v>
      </c>
      <c r="AF68">
        <f>STDEV(AG56:AI56)</f>
        <v>1.1302243140191339</v>
      </c>
      <c r="AG68">
        <f>STDEV(AJ56:AL56)</f>
        <v>3.3008623115785904</v>
      </c>
    </row>
    <row r="69" spans="1:33" x14ac:dyDescent="0.25">
      <c r="B69">
        <v>21194.223000000002</v>
      </c>
      <c r="C69">
        <v>20820.522000000001</v>
      </c>
      <c r="D69">
        <v>20961.886999999999</v>
      </c>
      <c r="E69">
        <v>2056.5329999999999</v>
      </c>
      <c r="F69">
        <v>2151.386</v>
      </c>
      <c r="G69">
        <v>2151.0320000000002</v>
      </c>
      <c r="H69">
        <v>10472.575000000001</v>
      </c>
      <c r="I69">
        <v>10519.903</v>
      </c>
      <c r="J69">
        <v>10628.013999999999</v>
      </c>
      <c r="K69">
        <v>2295.17</v>
      </c>
      <c r="L69">
        <v>2351.663</v>
      </c>
      <c r="M69">
        <v>2451.5300000000002</v>
      </c>
      <c r="N69" t="s">
        <v>41</v>
      </c>
      <c r="Q69">
        <v>2.5</v>
      </c>
      <c r="R69">
        <f t="shared" ref="R69:R75" si="0">AVERAGE(R57:T57)</f>
        <v>20951.091666666664</v>
      </c>
      <c r="S69">
        <f t="shared" ref="S69:S75" si="1">AVERAGE(U57:W57)</f>
        <v>4746.3746666666666</v>
      </c>
      <c r="T69">
        <f t="shared" ref="T69:T75" si="2">AVERAGE(X57:Z57)</f>
        <v>15521.047333333334</v>
      </c>
      <c r="U69">
        <f t="shared" ref="U69:U75" si="3">AVERAGE(AA57:AC57)</f>
        <v>9374.996000000001</v>
      </c>
      <c r="V69">
        <f t="shared" ref="V69:V75" si="4">AVERAGE(AD57:AF57)</f>
        <v>341.34766666666661</v>
      </c>
      <c r="W69">
        <f t="shared" ref="W69:W75" si="5">AVERAGE(AG57:AI57)</f>
        <v>444.31466666666665</v>
      </c>
      <c r="X69">
        <f t="shared" ref="X69:X75" si="6">AVERAGE(AJ57:AL57)</f>
        <v>253.59399999999997</v>
      </c>
      <c r="AA69">
        <f t="shared" ref="AA69:AA75" si="7">STDEV(R57:T57)</f>
        <v>552.84403880690616</v>
      </c>
      <c r="AB69">
        <f t="shared" ref="AB69:AB75" si="8">STDEV(U57:W57)</f>
        <v>90.442565987113198</v>
      </c>
      <c r="AC69">
        <f t="shared" ref="AC69:AC75" si="9">STDEV(X57:Z57)</f>
        <v>101.3071316854509</v>
      </c>
      <c r="AD69">
        <f t="shared" ref="AD69:AD75" si="10">STDEV(AA57:AC57)</f>
        <v>622.71550826762041</v>
      </c>
      <c r="AE69">
        <f t="shared" ref="AE69:AE75" si="11">STDEV(AD57:AF57)</f>
        <v>6.5152281106138892</v>
      </c>
      <c r="AF69">
        <f t="shared" ref="AF69:AF75" si="12">STDEV(AG57:AI57)</f>
        <v>31.344556805501878</v>
      </c>
      <c r="AG69">
        <f t="shared" ref="AG69:AG75" si="13">STDEV(AJ57:AL57)</f>
        <v>6.3792727641949734</v>
      </c>
    </row>
    <row r="70" spans="1:33" x14ac:dyDescent="0.25">
      <c r="A70" t="s">
        <v>45</v>
      </c>
      <c r="B70">
        <v>1.0669999999999999</v>
      </c>
      <c r="C70">
        <v>1.0780000000000001</v>
      </c>
      <c r="D70">
        <v>1.109</v>
      </c>
      <c r="E70">
        <v>0.92300000000000004</v>
      </c>
      <c r="F70">
        <v>0.91700000000000004</v>
      </c>
      <c r="G70">
        <v>0.91300000000000003</v>
      </c>
      <c r="H70">
        <v>0.94199999999999995</v>
      </c>
      <c r="I70">
        <v>0.93700000000000006</v>
      </c>
      <c r="J70">
        <v>0.94299999999999995</v>
      </c>
      <c r="K70">
        <v>0.89700000000000002</v>
      </c>
      <c r="L70">
        <v>0.88700000000000001</v>
      </c>
      <c r="M70">
        <v>0.88700000000000001</v>
      </c>
      <c r="N70">
        <v>600</v>
      </c>
      <c r="Q70">
        <v>5</v>
      </c>
      <c r="R70">
        <f t="shared" si="0"/>
        <v>21163.459666666666</v>
      </c>
      <c r="S70">
        <f t="shared" si="1"/>
        <v>3133.5319999999997</v>
      </c>
      <c r="T70">
        <f t="shared" si="2"/>
        <v>13313.734666666665</v>
      </c>
      <c r="U70">
        <f t="shared" si="3"/>
        <v>4331.7433333333329</v>
      </c>
      <c r="V70">
        <f t="shared" si="4"/>
        <v>535.98566666666659</v>
      </c>
      <c r="W70">
        <f t="shared" si="5"/>
        <v>1159.0796666666665</v>
      </c>
      <c r="X70">
        <f t="shared" si="6"/>
        <v>412.19666666666666</v>
      </c>
      <c r="AA70">
        <f t="shared" si="7"/>
        <v>159.78373335960481</v>
      </c>
      <c r="AB70">
        <f t="shared" si="8"/>
        <v>61.356483919794485</v>
      </c>
      <c r="AC70">
        <f t="shared" si="9"/>
        <v>54.531313071787594</v>
      </c>
      <c r="AD70">
        <f t="shared" si="10"/>
        <v>76.378954597017739</v>
      </c>
      <c r="AE70">
        <f t="shared" si="11"/>
        <v>22.066945469034309</v>
      </c>
      <c r="AF70">
        <f t="shared" si="12"/>
        <v>64.121900785405032</v>
      </c>
      <c r="AG70">
        <f t="shared" si="13"/>
        <v>4.9855766299730542</v>
      </c>
    </row>
    <row r="71" spans="1:33" x14ac:dyDescent="0.25">
      <c r="B71">
        <v>294</v>
      </c>
      <c r="C71">
        <v>297</v>
      </c>
      <c r="D71">
        <v>301</v>
      </c>
      <c r="E71">
        <v>282</v>
      </c>
      <c r="F71">
        <v>288</v>
      </c>
      <c r="G71">
        <v>286</v>
      </c>
      <c r="H71">
        <v>277</v>
      </c>
      <c r="I71">
        <v>270</v>
      </c>
      <c r="J71">
        <v>274</v>
      </c>
      <c r="K71">
        <v>262</v>
      </c>
      <c r="L71">
        <v>265</v>
      </c>
      <c r="M71">
        <v>268</v>
      </c>
      <c r="N71" t="s">
        <v>39</v>
      </c>
      <c r="Q71">
        <v>10</v>
      </c>
      <c r="R71">
        <f t="shared" si="0"/>
        <v>20992.210666666666</v>
      </c>
      <c r="S71">
        <f t="shared" si="1"/>
        <v>2119.6503333333335</v>
      </c>
      <c r="T71">
        <f t="shared" si="2"/>
        <v>10540.164000000001</v>
      </c>
      <c r="U71">
        <f t="shared" si="3"/>
        <v>2366.1210000000005</v>
      </c>
      <c r="V71">
        <f t="shared" si="4"/>
        <v>979.14733333333334</v>
      </c>
      <c r="W71">
        <f t="shared" si="5"/>
        <v>2594.8626666666664</v>
      </c>
      <c r="X71">
        <f t="shared" si="6"/>
        <v>971.75099999999986</v>
      </c>
      <c r="AA71">
        <f t="shared" si="7"/>
        <v>188.68691772439757</v>
      </c>
      <c r="AB71">
        <f t="shared" si="8"/>
        <v>54.661500659361188</v>
      </c>
      <c r="AC71">
        <f t="shared" si="9"/>
        <v>79.675603361379544</v>
      </c>
      <c r="AD71">
        <f t="shared" si="10"/>
        <v>79.176307838898452</v>
      </c>
      <c r="AE71">
        <f t="shared" si="11"/>
        <v>89.160980940842862</v>
      </c>
      <c r="AF71">
        <f t="shared" si="12"/>
        <v>88.781793569026959</v>
      </c>
      <c r="AG71">
        <f t="shared" si="13"/>
        <v>27.955917423686856</v>
      </c>
    </row>
    <row r="72" spans="1:33" x14ac:dyDescent="0.25">
      <c r="B72">
        <v>22305</v>
      </c>
      <c r="C72">
        <v>22256</v>
      </c>
      <c r="D72">
        <v>23119</v>
      </c>
      <c r="E72">
        <v>1501</v>
      </c>
      <c r="F72">
        <v>1586</v>
      </c>
      <c r="G72">
        <v>1571</v>
      </c>
      <c r="H72">
        <v>7547</v>
      </c>
      <c r="I72">
        <v>7746</v>
      </c>
      <c r="J72">
        <v>7624</v>
      </c>
      <c r="K72">
        <v>1534</v>
      </c>
      <c r="L72">
        <v>1574</v>
      </c>
      <c r="M72">
        <v>1617</v>
      </c>
      <c r="N72" t="s">
        <v>40</v>
      </c>
      <c r="Q72">
        <v>20</v>
      </c>
      <c r="R72">
        <f t="shared" si="0"/>
        <v>20794.377666666667</v>
      </c>
      <c r="S72">
        <f t="shared" si="1"/>
        <v>1692.0276666666666</v>
      </c>
      <c r="T72">
        <f t="shared" si="2"/>
        <v>8122.5403333333334</v>
      </c>
      <c r="U72">
        <f t="shared" si="3"/>
        <v>1768.6823333333332</v>
      </c>
      <c r="V72">
        <f t="shared" si="4"/>
        <v>1755.7433333333331</v>
      </c>
      <c r="W72">
        <f t="shared" si="5"/>
        <v>5118.5266666666676</v>
      </c>
      <c r="X72">
        <f t="shared" si="6"/>
        <v>2226.3626666666664</v>
      </c>
      <c r="AA72">
        <f t="shared" si="7"/>
        <v>134.28101854072011</v>
      </c>
      <c r="AB72">
        <f t="shared" si="8"/>
        <v>56.976988559710051</v>
      </c>
      <c r="AC72">
        <f t="shared" si="9"/>
        <v>130.92009937871813</v>
      </c>
      <c r="AD72">
        <f t="shared" si="10"/>
        <v>56.206693572325847</v>
      </c>
      <c r="AE72">
        <f t="shared" si="11"/>
        <v>159.30782479945341</v>
      </c>
      <c r="AF72">
        <f t="shared" si="12"/>
        <v>299.47017640882592</v>
      </c>
      <c r="AG72">
        <f t="shared" si="13"/>
        <v>40.085441812874258</v>
      </c>
    </row>
    <row r="73" spans="1:33" x14ac:dyDescent="0.25">
      <c r="B73">
        <v>20894.614000000001</v>
      </c>
      <c r="C73">
        <v>20641.810000000001</v>
      </c>
      <c r="D73">
        <v>20846.708999999999</v>
      </c>
      <c r="E73">
        <v>1626.395</v>
      </c>
      <c r="F73">
        <v>1728.799</v>
      </c>
      <c r="G73">
        <v>1720.8889999999999</v>
      </c>
      <c r="H73">
        <v>8013.3789999999999</v>
      </c>
      <c r="I73">
        <v>8267.6910000000007</v>
      </c>
      <c r="J73">
        <v>8086.5510000000004</v>
      </c>
      <c r="K73">
        <v>1709.954</v>
      </c>
      <c r="L73">
        <v>1774.1210000000001</v>
      </c>
      <c r="M73">
        <v>1821.972</v>
      </c>
      <c r="N73" t="s">
        <v>41</v>
      </c>
      <c r="Q73">
        <v>40</v>
      </c>
      <c r="R73">
        <f t="shared" si="0"/>
        <v>20427.981333333333</v>
      </c>
      <c r="S73">
        <f t="shared" si="1"/>
        <v>1580.3946666666668</v>
      </c>
      <c r="T73">
        <f t="shared" si="2"/>
        <v>6888.121666666666</v>
      </c>
      <c r="U73">
        <f t="shared" si="3"/>
        <v>1712.0690000000002</v>
      </c>
      <c r="V73">
        <f t="shared" si="4"/>
        <v>3445.4736666666668</v>
      </c>
      <c r="W73">
        <f t="shared" si="5"/>
        <v>8315.0026666666654</v>
      </c>
      <c r="X73">
        <f t="shared" si="6"/>
        <v>3991.9140000000002</v>
      </c>
      <c r="AA73">
        <f t="shared" si="7"/>
        <v>137.96663226060613</v>
      </c>
      <c r="AB73">
        <f t="shared" si="8"/>
        <v>46.678392349494302</v>
      </c>
      <c r="AC73">
        <f t="shared" si="9"/>
        <v>133.8266432229895</v>
      </c>
      <c r="AD73">
        <f t="shared" si="10"/>
        <v>48.990968239053984</v>
      </c>
      <c r="AE73">
        <f t="shared" si="11"/>
        <v>359.7602046618461</v>
      </c>
      <c r="AF73">
        <f t="shared" si="12"/>
        <v>237.05512155263276</v>
      </c>
      <c r="AG73">
        <f t="shared" si="13"/>
        <v>103.88761981583779</v>
      </c>
    </row>
    <row r="74" spans="1:33" x14ac:dyDescent="0.25">
      <c r="A74" t="s">
        <v>46</v>
      </c>
      <c r="B74">
        <v>1.0780000000000001</v>
      </c>
      <c r="C74">
        <v>1.0740000000000001</v>
      </c>
      <c r="D74">
        <v>1.085</v>
      </c>
      <c r="E74">
        <v>0.91</v>
      </c>
      <c r="F74">
        <v>0.92300000000000004</v>
      </c>
      <c r="G74">
        <v>0.92700000000000005</v>
      </c>
      <c r="H74">
        <v>0.94899999999999995</v>
      </c>
      <c r="I74">
        <v>0.92600000000000005</v>
      </c>
      <c r="J74">
        <v>0.95599999999999996</v>
      </c>
      <c r="K74">
        <v>0.90500000000000003</v>
      </c>
      <c r="L74">
        <v>0.92700000000000005</v>
      </c>
      <c r="M74">
        <v>0.87</v>
      </c>
      <c r="N74">
        <v>600</v>
      </c>
      <c r="Q74">
        <v>60</v>
      </c>
      <c r="R74">
        <f t="shared" si="0"/>
        <v>20546.48</v>
      </c>
      <c r="S74">
        <f t="shared" si="1"/>
        <v>1609.4210000000003</v>
      </c>
      <c r="T74">
        <f t="shared" si="2"/>
        <v>6911.7506666666668</v>
      </c>
      <c r="U74">
        <f t="shared" si="3"/>
        <v>1762.7560000000001</v>
      </c>
      <c r="V74">
        <f t="shared" si="4"/>
        <v>4414.6573333333336</v>
      </c>
      <c r="W74">
        <f t="shared" si="5"/>
        <v>9381.4879999999994</v>
      </c>
      <c r="X74">
        <f t="shared" si="6"/>
        <v>4718.3143333333328</v>
      </c>
      <c r="AA74">
        <f t="shared" si="7"/>
        <v>69.680028652405241</v>
      </c>
      <c r="AB74">
        <f t="shared" si="8"/>
        <v>37.291585176819694</v>
      </c>
      <c r="AC74">
        <f t="shared" si="9"/>
        <v>100.73595998119674</v>
      </c>
      <c r="AD74">
        <f t="shared" si="10"/>
        <v>43.528870833046014</v>
      </c>
      <c r="AE74">
        <f t="shared" si="11"/>
        <v>79.828919379717078</v>
      </c>
      <c r="AF74">
        <f t="shared" si="12"/>
        <v>188.36109790240647</v>
      </c>
      <c r="AG74">
        <f t="shared" si="13"/>
        <v>88.301714311407281</v>
      </c>
    </row>
    <row r="75" spans="1:33" x14ac:dyDescent="0.25">
      <c r="B75">
        <v>325</v>
      </c>
      <c r="C75">
        <v>332</v>
      </c>
      <c r="D75">
        <v>332</v>
      </c>
      <c r="E75">
        <v>325</v>
      </c>
      <c r="F75">
        <v>333</v>
      </c>
      <c r="G75">
        <v>326</v>
      </c>
      <c r="H75">
        <v>328</v>
      </c>
      <c r="I75">
        <v>311</v>
      </c>
      <c r="J75">
        <v>322</v>
      </c>
      <c r="K75">
        <v>305</v>
      </c>
      <c r="L75">
        <v>311</v>
      </c>
      <c r="M75">
        <v>303</v>
      </c>
      <c r="N75" t="s">
        <v>39</v>
      </c>
      <c r="Q75">
        <v>200</v>
      </c>
      <c r="R75">
        <f t="shared" si="0"/>
        <v>21141.141666666666</v>
      </c>
      <c r="S75">
        <f t="shared" si="1"/>
        <v>1654.9870000000001</v>
      </c>
      <c r="T75">
        <f t="shared" si="2"/>
        <v>6874.9069999999992</v>
      </c>
      <c r="U75">
        <f t="shared" si="3"/>
        <v>1791.0139999999999</v>
      </c>
      <c r="V75">
        <f t="shared" si="4"/>
        <v>5174.1483333333335</v>
      </c>
      <c r="W75">
        <f t="shared" si="5"/>
        <v>9928.6253333333334</v>
      </c>
      <c r="X75">
        <f t="shared" si="6"/>
        <v>5233.4213333333337</v>
      </c>
      <c r="AA75">
        <f t="shared" si="7"/>
        <v>88.277085114617222</v>
      </c>
      <c r="AB75">
        <f t="shared" si="8"/>
        <v>39.473175549985825</v>
      </c>
      <c r="AC75">
        <f t="shared" si="9"/>
        <v>96.186940490900142</v>
      </c>
      <c r="AD75">
        <f t="shared" si="10"/>
        <v>37.25144242844835</v>
      </c>
      <c r="AE75">
        <f t="shared" si="11"/>
        <v>71.381145306960178</v>
      </c>
      <c r="AF75">
        <f t="shared" si="12"/>
        <v>95.426696523212613</v>
      </c>
      <c r="AG75">
        <f t="shared" si="13"/>
        <v>44.203333158635672</v>
      </c>
    </row>
    <row r="76" spans="1:33" x14ac:dyDescent="0.25">
      <c r="B76">
        <v>21941</v>
      </c>
      <c r="C76">
        <v>21841</v>
      </c>
      <c r="D76">
        <v>22347</v>
      </c>
      <c r="E76">
        <v>1390</v>
      </c>
      <c r="F76">
        <v>1490</v>
      </c>
      <c r="G76">
        <v>1482</v>
      </c>
      <c r="H76">
        <v>6493</v>
      </c>
      <c r="I76">
        <v>6287</v>
      </c>
      <c r="J76">
        <v>6727</v>
      </c>
      <c r="K76">
        <v>1498</v>
      </c>
      <c r="L76">
        <v>1619</v>
      </c>
      <c r="M76">
        <v>1508</v>
      </c>
      <c r="N76" t="s">
        <v>40</v>
      </c>
    </row>
    <row r="77" spans="1:33" x14ac:dyDescent="0.25">
      <c r="B77">
        <v>20359.098000000002</v>
      </c>
      <c r="C77">
        <v>20338.02</v>
      </c>
      <c r="D77">
        <v>20586.826000000001</v>
      </c>
      <c r="E77">
        <v>1527.3050000000001</v>
      </c>
      <c r="F77">
        <v>1615.001</v>
      </c>
      <c r="G77">
        <v>1598.8779999999999</v>
      </c>
      <c r="H77">
        <v>6839.0559999999996</v>
      </c>
      <c r="I77">
        <v>6785.7529999999997</v>
      </c>
      <c r="J77">
        <v>7039.5559999999996</v>
      </c>
      <c r="K77">
        <v>1655.981</v>
      </c>
      <c r="L77">
        <v>1746.4939999999999</v>
      </c>
      <c r="M77">
        <v>1733.732</v>
      </c>
      <c r="N77" t="s">
        <v>41</v>
      </c>
    </row>
    <row r="78" spans="1:33" x14ac:dyDescent="0.25">
      <c r="A78" t="s">
        <v>47</v>
      </c>
      <c r="B78">
        <v>1.07</v>
      </c>
      <c r="C78">
        <v>1.054</v>
      </c>
      <c r="D78">
        <v>1.0860000000000001</v>
      </c>
      <c r="E78">
        <v>0.92400000000000004</v>
      </c>
      <c r="F78">
        <v>0.92200000000000004</v>
      </c>
      <c r="G78">
        <v>0.91300000000000003</v>
      </c>
      <c r="H78">
        <v>0.94599999999999995</v>
      </c>
      <c r="I78">
        <v>0.94399999999999995</v>
      </c>
      <c r="J78">
        <v>0.94599999999999995</v>
      </c>
      <c r="K78">
        <v>0.9</v>
      </c>
      <c r="L78">
        <v>0.89600000000000002</v>
      </c>
      <c r="M78">
        <v>0.877</v>
      </c>
      <c r="N78">
        <v>600</v>
      </c>
    </row>
    <row r="79" spans="1:33" x14ac:dyDescent="0.25">
      <c r="B79">
        <v>333</v>
      </c>
      <c r="C79">
        <v>352</v>
      </c>
      <c r="D79">
        <v>364</v>
      </c>
      <c r="E79">
        <v>349</v>
      </c>
      <c r="F79">
        <v>346</v>
      </c>
      <c r="G79">
        <v>344</v>
      </c>
      <c r="H79">
        <v>351</v>
      </c>
      <c r="I79">
        <v>344</v>
      </c>
      <c r="J79">
        <v>344</v>
      </c>
      <c r="K79">
        <v>336</v>
      </c>
      <c r="L79">
        <v>334</v>
      </c>
      <c r="M79">
        <v>332</v>
      </c>
      <c r="N79" t="s">
        <v>39</v>
      </c>
    </row>
    <row r="80" spans="1:33" x14ac:dyDescent="0.25">
      <c r="B80">
        <v>22026</v>
      </c>
      <c r="C80">
        <v>21563</v>
      </c>
      <c r="D80">
        <v>22361</v>
      </c>
      <c r="E80">
        <v>1447</v>
      </c>
      <c r="F80">
        <v>1507</v>
      </c>
      <c r="G80">
        <v>1486</v>
      </c>
      <c r="H80">
        <v>6452</v>
      </c>
      <c r="I80">
        <v>6512</v>
      </c>
      <c r="J80">
        <v>6637</v>
      </c>
      <c r="K80">
        <v>1547</v>
      </c>
      <c r="L80">
        <v>1619</v>
      </c>
      <c r="M80">
        <v>1545</v>
      </c>
      <c r="N80" t="s">
        <v>40</v>
      </c>
      <c r="R80" t="s">
        <v>57</v>
      </c>
    </row>
    <row r="81" spans="1:36" x14ac:dyDescent="0.25">
      <c r="B81">
        <v>20586.971000000001</v>
      </c>
      <c r="C81">
        <v>20466.021000000001</v>
      </c>
      <c r="D81">
        <v>20586.448</v>
      </c>
      <c r="E81">
        <v>1566.5260000000001</v>
      </c>
      <c r="F81">
        <v>1634.136</v>
      </c>
      <c r="G81">
        <v>1627.6010000000001</v>
      </c>
      <c r="H81">
        <v>6818.8540000000003</v>
      </c>
      <c r="I81">
        <v>6897.5739999999996</v>
      </c>
      <c r="J81">
        <v>7018.8239999999996</v>
      </c>
      <c r="K81">
        <v>1719.462</v>
      </c>
      <c r="L81">
        <v>1806.5160000000001</v>
      </c>
      <c r="M81">
        <v>1762.29</v>
      </c>
      <c r="N81" t="s">
        <v>41</v>
      </c>
      <c r="R81" t="s">
        <v>56</v>
      </c>
      <c r="S81" t="s">
        <v>54</v>
      </c>
      <c r="AB81" t="s">
        <v>55</v>
      </c>
      <c r="AC81" t="s">
        <v>63</v>
      </c>
    </row>
    <row r="82" spans="1:36" x14ac:dyDescent="0.25">
      <c r="A82" t="s">
        <v>48</v>
      </c>
      <c r="B82">
        <v>1.038</v>
      </c>
      <c r="C82">
        <v>1.0309999999999999</v>
      </c>
      <c r="D82">
        <v>1.0660000000000001</v>
      </c>
      <c r="E82">
        <v>0.90200000000000002</v>
      </c>
      <c r="F82">
        <v>0.89700000000000002</v>
      </c>
      <c r="G82">
        <v>0.89400000000000002</v>
      </c>
      <c r="H82">
        <v>0.93700000000000006</v>
      </c>
      <c r="I82">
        <v>0.92100000000000004</v>
      </c>
      <c r="J82">
        <v>0.92</v>
      </c>
      <c r="K82">
        <v>0.89300000000000002</v>
      </c>
      <c r="L82">
        <v>0.877</v>
      </c>
      <c r="M82">
        <v>0.88600000000000001</v>
      </c>
      <c r="N82">
        <v>600</v>
      </c>
      <c r="Q82">
        <v>285.57099999999997</v>
      </c>
      <c r="R82">
        <v>230.554</v>
      </c>
      <c r="S82">
        <v>285.57099999999997</v>
      </c>
      <c r="AB82">
        <v>176.28700000000001</v>
      </c>
      <c r="AC82">
        <v>1.1302243140191339</v>
      </c>
      <c r="AE82" t="s">
        <v>64</v>
      </c>
      <c r="AF82" t="s">
        <v>65</v>
      </c>
      <c r="AG82" t="s">
        <v>66</v>
      </c>
      <c r="AI82" t="s">
        <v>65</v>
      </c>
      <c r="AJ82" t="s">
        <v>66</v>
      </c>
    </row>
    <row r="83" spans="1:36" x14ac:dyDescent="0.25">
      <c r="B83">
        <v>393</v>
      </c>
      <c r="C83">
        <v>391</v>
      </c>
      <c r="D83">
        <v>405</v>
      </c>
      <c r="E83">
        <v>380</v>
      </c>
      <c r="F83">
        <v>384</v>
      </c>
      <c r="G83">
        <v>376</v>
      </c>
      <c r="H83">
        <v>400</v>
      </c>
      <c r="I83">
        <v>404</v>
      </c>
      <c r="J83">
        <v>389</v>
      </c>
      <c r="K83">
        <v>386</v>
      </c>
      <c r="L83">
        <v>385</v>
      </c>
      <c r="M83">
        <v>413</v>
      </c>
      <c r="N83" t="s">
        <v>39</v>
      </c>
      <c r="Q83">
        <v>341.34766666666661</v>
      </c>
      <c r="R83">
        <v>253.59399999999997</v>
      </c>
      <c r="S83">
        <v>341.34766666666661</v>
      </c>
      <c r="AB83">
        <v>444.31466666666665</v>
      </c>
      <c r="AC83">
        <v>31.344556805501878</v>
      </c>
      <c r="AF83" t="s">
        <v>67</v>
      </c>
      <c r="AG83" t="s">
        <v>68</v>
      </c>
      <c r="AI83" t="s">
        <v>67</v>
      </c>
      <c r="AJ83" t="s">
        <v>68</v>
      </c>
    </row>
    <row r="84" spans="1:36" x14ac:dyDescent="0.25">
      <c r="B84">
        <v>22048</v>
      </c>
      <c r="C84">
        <v>21722</v>
      </c>
      <c r="D84">
        <v>22516</v>
      </c>
      <c r="E84">
        <v>1474</v>
      </c>
      <c r="F84">
        <v>1525</v>
      </c>
      <c r="G84">
        <v>1458</v>
      </c>
      <c r="H84">
        <v>6394</v>
      </c>
      <c r="I84">
        <v>6276</v>
      </c>
      <c r="J84">
        <v>6429</v>
      </c>
      <c r="K84">
        <v>1563</v>
      </c>
      <c r="L84">
        <v>1579</v>
      </c>
      <c r="M84">
        <v>1614</v>
      </c>
      <c r="N84" t="s">
        <v>40</v>
      </c>
      <c r="Q84">
        <v>535.98566666666659</v>
      </c>
      <c r="R84">
        <v>412.19666666666666</v>
      </c>
      <c r="S84">
        <v>535.98566666666659</v>
      </c>
      <c r="AB84">
        <v>1159.0796666666665</v>
      </c>
      <c r="AC84">
        <v>64.121900785405032</v>
      </c>
      <c r="AE84" t="s">
        <v>69</v>
      </c>
      <c r="AF84">
        <v>11886.871333333334</v>
      </c>
      <c r="AG84">
        <v>294.03166666666664</v>
      </c>
      <c r="AI84">
        <v>176.74217482065026</v>
      </c>
      <c r="AJ84">
        <v>3.5513116356261003</v>
      </c>
    </row>
    <row r="85" spans="1:36" x14ac:dyDescent="0.25">
      <c r="B85">
        <v>21236.756000000001</v>
      </c>
      <c r="C85">
        <v>21062.736000000001</v>
      </c>
      <c r="D85">
        <v>21123.933000000001</v>
      </c>
      <c r="E85">
        <v>1634.509</v>
      </c>
      <c r="F85">
        <v>1700.491</v>
      </c>
      <c r="G85">
        <v>1629.961</v>
      </c>
      <c r="H85">
        <v>6825.3630000000003</v>
      </c>
      <c r="I85">
        <v>6813.5919999999996</v>
      </c>
      <c r="J85">
        <v>6985.7659999999996</v>
      </c>
      <c r="K85">
        <v>1749.8879999999999</v>
      </c>
      <c r="L85">
        <v>1800.6610000000001</v>
      </c>
      <c r="M85">
        <v>1822.4929999999999</v>
      </c>
      <c r="N85" t="s">
        <v>41</v>
      </c>
      <c r="Q85">
        <v>979.14733333333334</v>
      </c>
      <c r="R85">
        <v>971.75099999999986</v>
      </c>
      <c r="S85">
        <v>979.14733333333334</v>
      </c>
      <c r="AB85">
        <v>2594.8626666666664</v>
      </c>
      <c r="AC85">
        <v>88.781793569026959</v>
      </c>
    </row>
    <row r="86" spans="1:36" x14ac:dyDescent="0.25">
      <c r="Q86">
        <v>1755.7433333333331</v>
      </c>
      <c r="R86">
        <v>2226.3626666666664</v>
      </c>
      <c r="S86">
        <v>1755.7433333333331</v>
      </c>
      <c r="AB86">
        <v>5118.5266666666676</v>
      </c>
      <c r="AC86">
        <v>299.47017640882592</v>
      </c>
    </row>
    <row r="87" spans="1:36" x14ac:dyDescent="0.25">
      <c r="Q87">
        <v>3445.4736666666668</v>
      </c>
      <c r="R87">
        <v>3991.9140000000002</v>
      </c>
      <c r="S87">
        <v>3445.4736666666668</v>
      </c>
      <c r="AB87">
        <v>8315.0026666666654</v>
      </c>
      <c r="AC87">
        <v>237.05512155263276</v>
      </c>
    </row>
    <row r="88" spans="1:36" x14ac:dyDescent="0.25">
      <c r="Q88">
        <v>4414.6573333333336</v>
      </c>
      <c r="R88">
        <v>4718.3143333333328</v>
      </c>
      <c r="S88">
        <v>4414.6573333333336</v>
      </c>
      <c r="AB88">
        <v>9381.4879999999994</v>
      </c>
      <c r="AC88">
        <v>188.36109790240647</v>
      </c>
    </row>
    <row r="89" spans="1:36" x14ac:dyDescent="0.25">
      <c r="A89" t="s">
        <v>49</v>
      </c>
      <c r="Q89">
        <v>5174.1483333333335</v>
      </c>
      <c r="R89">
        <v>5233.4213333333337</v>
      </c>
      <c r="S89">
        <v>5174.1483333333335</v>
      </c>
      <c r="AB89">
        <v>9928.6253333333334</v>
      </c>
      <c r="AC89">
        <v>95.426696523212613</v>
      </c>
    </row>
    <row r="90" spans="1:36" x14ac:dyDescent="0.25">
      <c r="B90">
        <v>1</v>
      </c>
      <c r="C90">
        <v>2</v>
      </c>
      <c r="D90">
        <v>3</v>
      </c>
      <c r="E90">
        <v>4</v>
      </c>
      <c r="F90">
        <v>5</v>
      </c>
      <c r="G90">
        <v>6</v>
      </c>
      <c r="H90">
        <v>7</v>
      </c>
      <c r="I90">
        <v>8</v>
      </c>
      <c r="J90">
        <v>9</v>
      </c>
      <c r="K90">
        <v>10</v>
      </c>
      <c r="L90">
        <v>11</v>
      </c>
      <c r="M90">
        <v>12</v>
      </c>
    </row>
    <row r="91" spans="1:36" x14ac:dyDescent="0.25">
      <c r="A91" t="s">
        <v>38</v>
      </c>
      <c r="B91">
        <v>0.88600000000000001</v>
      </c>
      <c r="C91">
        <v>0.878</v>
      </c>
      <c r="D91">
        <v>0.88</v>
      </c>
      <c r="E91">
        <v>0.89600000000000002</v>
      </c>
      <c r="F91">
        <v>0.91300000000000003</v>
      </c>
      <c r="G91">
        <v>0.90700000000000003</v>
      </c>
      <c r="H91">
        <v>0.9</v>
      </c>
      <c r="I91">
        <v>0.873</v>
      </c>
      <c r="J91">
        <v>0.89800000000000002</v>
      </c>
      <c r="K91">
        <v>4.2999999999999997E-2</v>
      </c>
      <c r="L91">
        <v>4.3999999999999997E-2</v>
      </c>
      <c r="M91">
        <v>4.3999999999999997E-2</v>
      </c>
      <c r="N91">
        <v>600</v>
      </c>
    </row>
    <row r="92" spans="1:36" x14ac:dyDescent="0.25">
      <c r="B92">
        <v>271</v>
      </c>
      <c r="C92">
        <v>272</v>
      </c>
      <c r="D92">
        <v>282</v>
      </c>
      <c r="E92">
        <v>280</v>
      </c>
      <c r="F92">
        <v>283</v>
      </c>
      <c r="G92">
        <v>276</v>
      </c>
      <c r="H92">
        <v>263</v>
      </c>
      <c r="I92">
        <v>259</v>
      </c>
      <c r="J92">
        <v>267</v>
      </c>
      <c r="K92">
        <v>29</v>
      </c>
      <c r="L92">
        <v>28</v>
      </c>
      <c r="M92">
        <v>29</v>
      </c>
      <c r="N92" t="s">
        <v>39</v>
      </c>
    </row>
    <row r="93" spans="1:36" x14ac:dyDescent="0.25">
      <c r="B93">
        <v>254</v>
      </c>
      <c r="C93">
        <v>251</v>
      </c>
      <c r="D93">
        <v>250</v>
      </c>
      <c r="E93">
        <v>158</v>
      </c>
      <c r="F93">
        <v>160</v>
      </c>
      <c r="G93">
        <v>161</v>
      </c>
      <c r="H93">
        <v>209</v>
      </c>
      <c r="I93">
        <v>198</v>
      </c>
      <c r="J93">
        <v>209</v>
      </c>
      <c r="K93">
        <v>64</v>
      </c>
      <c r="L93">
        <v>64</v>
      </c>
      <c r="M93">
        <v>62</v>
      </c>
      <c r="N93" t="s">
        <v>40</v>
      </c>
    </row>
    <row r="94" spans="1:36" x14ac:dyDescent="0.25">
      <c r="B94">
        <v>286.714</v>
      </c>
      <c r="C94">
        <v>285.84399999999999</v>
      </c>
      <c r="D94">
        <v>284.15499999999997</v>
      </c>
      <c r="E94">
        <v>176.261</v>
      </c>
      <c r="F94">
        <v>175.17</v>
      </c>
      <c r="G94">
        <v>177.43</v>
      </c>
      <c r="H94">
        <v>232.22200000000001</v>
      </c>
      <c r="I94">
        <v>226.75200000000001</v>
      </c>
      <c r="J94">
        <v>232.68799999999999</v>
      </c>
      <c r="K94">
        <v>1471.2639999999999</v>
      </c>
      <c r="L94">
        <v>1467.89</v>
      </c>
      <c r="M94">
        <v>1422.018</v>
      </c>
      <c r="N94" t="s">
        <v>41</v>
      </c>
      <c r="R94" t="s">
        <v>50</v>
      </c>
      <c r="S94" t="s">
        <v>51</v>
      </c>
      <c r="T94" t="s">
        <v>52</v>
      </c>
      <c r="U94" t="s">
        <v>53</v>
      </c>
    </row>
    <row r="95" spans="1:36" x14ac:dyDescent="0.25">
      <c r="A95" t="s">
        <v>42</v>
      </c>
      <c r="B95">
        <v>0.877</v>
      </c>
      <c r="C95">
        <v>0.86399999999999999</v>
      </c>
      <c r="D95">
        <v>0.88400000000000001</v>
      </c>
      <c r="E95">
        <v>0.91500000000000004</v>
      </c>
      <c r="F95">
        <v>0.91300000000000003</v>
      </c>
      <c r="G95">
        <v>0.91500000000000004</v>
      </c>
      <c r="H95">
        <v>0.91</v>
      </c>
      <c r="I95">
        <v>0.90800000000000003</v>
      </c>
      <c r="J95">
        <v>0.91100000000000003</v>
      </c>
      <c r="K95">
        <v>4.4999999999999998E-2</v>
      </c>
      <c r="L95">
        <v>4.3999999999999997E-2</v>
      </c>
      <c r="M95">
        <v>4.2999999999999997E-2</v>
      </c>
      <c r="N95">
        <v>600</v>
      </c>
      <c r="Q95">
        <v>285.57099999999997</v>
      </c>
      <c r="R95">
        <v>21210.777666666665</v>
      </c>
      <c r="S95">
        <v>6379.1396666666669</v>
      </c>
      <c r="T95">
        <v>17008.854333333333</v>
      </c>
      <c r="U95">
        <v>17632.919666666668</v>
      </c>
    </row>
    <row r="96" spans="1:36" x14ac:dyDescent="0.25">
      <c r="B96">
        <v>246</v>
      </c>
      <c r="C96">
        <v>263</v>
      </c>
      <c r="D96">
        <v>256</v>
      </c>
      <c r="E96">
        <v>259</v>
      </c>
      <c r="F96">
        <v>250</v>
      </c>
      <c r="G96">
        <v>255</v>
      </c>
      <c r="H96">
        <v>257</v>
      </c>
      <c r="I96">
        <v>254</v>
      </c>
      <c r="J96">
        <v>261</v>
      </c>
      <c r="K96">
        <v>31</v>
      </c>
      <c r="L96">
        <v>31</v>
      </c>
      <c r="M96">
        <v>30</v>
      </c>
      <c r="N96" t="s">
        <v>39</v>
      </c>
      <c r="Q96">
        <v>341.34766666666661</v>
      </c>
      <c r="R96">
        <v>20951.091666666664</v>
      </c>
      <c r="S96">
        <v>4746.3746666666666</v>
      </c>
      <c r="T96">
        <v>15521.047333333334</v>
      </c>
      <c r="U96">
        <v>9374.996000000001</v>
      </c>
    </row>
    <row r="97" spans="1:31" x14ac:dyDescent="0.25">
      <c r="B97">
        <v>293</v>
      </c>
      <c r="C97">
        <v>297</v>
      </c>
      <c r="D97">
        <v>306</v>
      </c>
      <c r="E97">
        <v>428</v>
      </c>
      <c r="F97">
        <v>417</v>
      </c>
      <c r="G97">
        <v>374</v>
      </c>
      <c r="H97">
        <v>237</v>
      </c>
      <c r="I97">
        <v>229</v>
      </c>
      <c r="J97">
        <v>226</v>
      </c>
      <c r="K97">
        <v>63</v>
      </c>
      <c r="L97">
        <v>64</v>
      </c>
      <c r="M97">
        <v>61</v>
      </c>
      <c r="N97" t="s">
        <v>40</v>
      </c>
      <c r="Q97">
        <v>535.98566666666659</v>
      </c>
      <c r="R97">
        <v>21163.459666666666</v>
      </c>
      <c r="S97">
        <v>3133.5319999999997</v>
      </c>
      <c r="T97">
        <v>13313.734666666665</v>
      </c>
      <c r="U97">
        <v>4331.7433333333329</v>
      </c>
    </row>
    <row r="98" spans="1:31" x14ac:dyDescent="0.25">
      <c r="B98">
        <v>333.94099999999997</v>
      </c>
      <c r="C98">
        <v>343.90899999999999</v>
      </c>
      <c r="D98">
        <v>346.19299999999998</v>
      </c>
      <c r="E98">
        <v>467.50400000000002</v>
      </c>
      <c r="F98">
        <v>456.786</v>
      </c>
      <c r="G98">
        <v>408.654</v>
      </c>
      <c r="H98">
        <v>260.55399999999997</v>
      </c>
      <c r="I98">
        <v>252.203</v>
      </c>
      <c r="J98">
        <v>248.02500000000001</v>
      </c>
      <c r="K98">
        <v>1412.556</v>
      </c>
      <c r="L98">
        <v>1438.202</v>
      </c>
      <c r="M98">
        <v>1425.2339999999999</v>
      </c>
      <c r="N98" t="s">
        <v>41</v>
      </c>
      <c r="Q98">
        <v>979.14733333333334</v>
      </c>
      <c r="R98">
        <v>20992.210666666666</v>
      </c>
      <c r="S98">
        <v>2119.6503333333335</v>
      </c>
      <c r="T98">
        <v>10540.164000000001</v>
      </c>
      <c r="U98">
        <v>2366.1210000000005</v>
      </c>
    </row>
    <row r="99" spans="1:31" x14ac:dyDescent="0.25">
      <c r="A99" t="s">
        <v>43</v>
      </c>
      <c r="B99">
        <v>0.871</v>
      </c>
      <c r="C99">
        <v>0.89300000000000002</v>
      </c>
      <c r="D99">
        <v>0.91100000000000003</v>
      </c>
      <c r="E99">
        <v>0.92500000000000004</v>
      </c>
      <c r="F99">
        <v>0.93100000000000005</v>
      </c>
      <c r="G99">
        <v>0.95</v>
      </c>
      <c r="H99">
        <v>0.93500000000000005</v>
      </c>
      <c r="I99">
        <v>0.92500000000000004</v>
      </c>
      <c r="J99">
        <v>0.94399999999999995</v>
      </c>
      <c r="K99">
        <v>4.4999999999999998E-2</v>
      </c>
      <c r="L99">
        <v>4.3999999999999997E-2</v>
      </c>
      <c r="M99">
        <v>4.2999999999999997E-2</v>
      </c>
      <c r="N99">
        <v>600</v>
      </c>
      <c r="Q99">
        <v>1755.7433333333331</v>
      </c>
      <c r="R99">
        <v>20794.377666666667</v>
      </c>
      <c r="S99">
        <v>1692.0276666666666</v>
      </c>
      <c r="T99">
        <v>8122.5403333333334</v>
      </c>
      <c r="U99">
        <v>1768.6823333333332</v>
      </c>
    </row>
    <row r="100" spans="1:31" x14ac:dyDescent="0.25">
      <c r="B100">
        <v>261</v>
      </c>
      <c r="C100">
        <v>266</v>
      </c>
      <c r="D100">
        <v>262</v>
      </c>
      <c r="E100">
        <v>251</v>
      </c>
      <c r="F100">
        <v>247</v>
      </c>
      <c r="G100">
        <v>256</v>
      </c>
      <c r="H100">
        <v>259</v>
      </c>
      <c r="I100">
        <v>251</v>
      </c>
      <c r="J100">
        <v>241</v>
      </c>
      <c r="K100">
        <v>31</v>
      </c>
      <c r="L100">
        <v>32</v>
      </c>
      <c r="M100">
        <v>31</v>
      </c>
      <c r="N100" t="s">
        <v>39</v>
      </c>
      <c r="Q100">
        <v>3445.4736666666668</v>
      </c>
      <c r="R100">
        <v>20427.981333333333</v>
      </c>
      <c r="S100">
        <v>1580.3946666666668</v>
      </c>
      <c r="T100">
        <v>6888.121666666666</v>
      </c>
      <c r="U100">
        <v>1712.0690000000002</v>
      </c>
    </row>
    <row r="101" spans="1:31" x14ac:dyDescent="0.25">
      <c r="B101">
        <v>461</v>
      </c>
      <c r="C101">
        <v>463</v>
      </c>
      <c r="D101">
        <v>511</v>
      </c>
      <c r="E101">
        <v>1080</v>
      </c>
      <c r="F101">
        <v>1134</v>
      </c>
      <c r="G101">
        <v>1036</v>
      </c>
      <c r="H101">
        <v>389</v>
      </c>
      <c r="I101">
        <v>376</v>
      </c>
      <c r="J101">
        <v>391</v>
      </c>
      <c r="K101">
        <v>65</v>
      </c>
      <c r="L101">
        <v>64</v>
      </c>
      <c r="M101">
        <v>61</v>
      </c>
      <c r="N101" t="s">
        <v>40</v>
      </c>
      <c r="Q101">
        <v>4414.6573333333336</v>
      </c>
      <c r="R101">
        <v>20546.48</v>
      </c>
      <c r="S101">
        <v>1609.4210000000003</v>
      </c>
      <c r="T101">
        <v>6911.7506666666668</v>
      </c>
      <c r="U101">
        <v>1762.7560000000001</v>
      </c>
    </row>
    <row r="102" spans="1:31" x14ac:dyDescent="0.25">
      <c r="B102">
        <v>529.09400000000005</v>
      </c>
      <c r="C102">
        <v>518.18700000000001</v>
      </c>
      <c r="D102">
        <v>560.67600000000004</v>
      </c>
      <c r="E102">
        <v>1167.9459999999999</v>
      </c>
      <c r="F102">
        <v>1218.307</v>
      </c>
      <c r="G102">
        <v>1090.9860000000001</v>
      </c>
      <c r="H102">
        <v>415.90899999999999</v>
      </c>
      <c r="I102">
        <v>406.53</v>
      </c>
      <c r="J102">
        <v>414.15100000000001</v>
      </c>
      <c r="K102">
        <v>1450.893</v>
      </c>
      <c r="L102">
        <v>1444.6949999999999</v>
      </c>
      <c r="M102">
        <v>1431.925</v>
      </c>
      <c r="N102" t="s">
        <v>41</v>
      </c>
      <c r="Q102">
        <v>5174.1483333333335</v>
      </c>
      <c r="R102">
        <v>21141.141666666666</v>
      </c>
      <c r="S102">
        <v>1654.9870000000001</v>
      </c>
      <c r="T102">
        <v>6874.9069999999992</v>
      </c>
      <c r="U102">
        <v>1791.0139999999999</v>
      </c>
    </row>
    <row r="103" spans="1:31" x14ac:dyDescent="0.25">
      <c r="A103" t="s">
        <v>44</v>
      </c>
      <c r="B103">
        <v>0.87</v>
      </c>
      <c r="C103">
        <v>0.86899999999999999</v>
      </c>
      <c r="D103">
        <v>0.90700000000000003</v>
      </c>
      <c r="E103">
        <v>0.92700000000000005</v>
      </c>
      <c r="F103">
        <v>0.93899999999999995</v>
      </c>
      <c r="G103">
        <v>0.95099999999999996</v>
      </c>
      <c r="H103">
        <v>0.92700000000000005</v>
      </c>
      <c r="I103">
        <v>0.92500000000000004</v>
      </c>
      <c r="J103">
        <v>0.94499999999999995</v>
      </c>
      <c r="K103">
        <v>4.3999999999999997E-2</v>
      </c>
      <c r="L103">
        <v>4.3999999999999997E-2</v>
      </c>
      <c r="M103">
        <v>4.2999999999999997E-2</v>
      </c>
      <c r="N103">
        <v>600</v>
      </c>
    </row>
    <row r="104" spans="1:31" x14ac:dyDescent="0.25">
      <c r="B104">
        <v>264</v>
      </c>
      <c r="C104">
        <v>252</v>
      </c>
      <c r="D104">
        <v>268</v>
      </c>
      <c r="E104">
        <v>253</v>
      </c>
      <c r="F104">
        <v>262</v>
      </c>
      <c r="G104">
        <v>274</v>
      </c>
      <c r="H104">
        <v>263</v>
      </c>
      <c r="I104">
        <v>258</v>
      </c>
      <c r="J104">
        <v>260</v>
      </c>
      <c r="K104">
        <v>30</v>
      </c>
      <c r="L104">
        <v>30</v>
      </c>
      <c r="M104">
        <v>30</v>
      </c>
      <c r="N104" t="s">
        <v>39</v>
      </c>
    </row>
    <row r="105" spans="1:31" x14ac:dyDescent="0.25">
      <c r="B105">
        <v>800</v>
      </c>
      <c r="C105">
        <v>813</v>
      </c>
      <c r="D105">
        <v>981</v>
      </c>
      <c r="E105">
        <v>2493</v>
      </c>
      <c r="F105">
        <v>2358</v>
      </c>
      <c r="G105">
        <v>2457</v>
      </c>
      <c r="H105">
        <v>927</v>
      </c>
      <c r="I105">
        <v>874</v>
      </c>
      <c r="J105">
        <v>917</v>
      </c>
      <c r="K105">
        <v>62</v>
      </c>
      <c r="L105">
        <v>64</v>
      </c>
      <c r="M105">
        <v>63</v>
      </c>
      <c r="N105" t="s">
        <v>40</v>
      </c>
      <c r="T105" t="s">
        <v>59</v>
      </c>
      <c r="AA105" t="s">
        <v>58</v>
      </c>
    </row>
    <row r="106" spans="1:31" x14ac:dyDescent="0.25">
      <c r="B106">
        <v>920.06899999999996</v>
      </c>
      <c r="C106">
        <v>935.66600000000005</v>
      </c>
      <c r="D106">
        <v>1081.7070000000001</v>
      </c>
      <c r="E106">
        <v>2688.74</v>
      </c>
      <c r="F106">
        <v>2512.252</v>
      </c>
      <c r="G106">
        <v>2583.596</v>
      </c>
      <c r="H106">
        <v>1000.324</v>
      </c>
      <c r="I106">
        <v>944.45600000000002</v>
      </c>
      <c r="J106">
        <v>970.47299999999996</v>
      </c>
      <c r="K106">
        <v>1399.549</v>
      </c>
      <c r="L106">
        <v>1467.89</v>
      </c>
      <c r="M106">
        <v>1454.9649999999999</v>
      </c>
      <c r="N106" t="s">
        <v>41</v>
      </c>
      <c r="U106" t="s">
        <v>50</v>
      </c>
      <c r="V106" t="s">
        <v>51</v>
      </c>
      <c r="W106" t="s">
        <v>52</v>
      </c>
      <c r="X106" t="s">
        <v>53</v>
      </c>
      <c r="Y106" t="s">
        <v>54</v>
      </c>
      <c r="AA106" t="s">
        <v>50</v>
      </c>
      <c r="AB106" t="s">
        <v>51</v>
      </c>
      <c r="AC106" t="s">
        <v>52</v>
      </c>
      <c r="AD106" t="s">
        <v>53</v>
      </c>
      <c r="AE106" t="s">
        <v>54</v>
      </c>
    </row>
    <row r="107" spans="1:31" x14ac:dyDescent="0.25">
      <c r="A107" t="s">
        <v>45</v>
      </c>
      <c r="B107">
        <v>0.88700000000000001</v>
      </c>
      <c r="C107">
        <v>0.90200000000000002</v>
      </c>
      <c r="D107">
        <v>0.91900000000000004</v>
      </c>
      <c r="E107">
        <v>0.93899999999999995</v>
      </c>
      <c r="F107">
        <v>0.97399999999999998</v>
      </c>
      <c r="G107">
        <v>0.95899999999999996</v>
      </c>
      <c r="H107">
        <v>0.93200000000000005</v>
      </c>
      <c r="I107">
        <v>0.93400000000000005</v>
      </c>
      <c r="J107">
        <v>0.92100000000000004</v>
      </c>
      <c r="K107">
        <v>4.3999999999999997E-2</v>
      </c>
      <c r="L107">
        <v>4.2999999999999997E-2</v>
      </c>
      <c r="M107">
        <v>4.2999999999999997E-2</v>
      </c>
      <c r="N107">
        <v>600</v>
      </c>
      <c r="T107">
        <v>0</v>
      </c>
      <c r="U107">
        <v>21210.777666666665</v>
      </c>
      <c r="V107">
        <v>6379.1396666666669</v>
      </c>
      <c r="W107">
        <v>17008.854333333333</v>
      </c>
      <c r="X107">
        <v>17632.919666666668</v>
      </c>
      <c r="Y107">
        <v>285.57099999999997</v>
      </c>
      <c r="AA107">
        <v>762.48613778896561</v>
      </c>
      <c r="AB107">
        <v>24.735153533651676</v>
      </c>
      <c r="AC107">
        <v>140.36504787279864</v>
      </c>
      <c r="AD107">
        <v>163.16640500523721</v>
      </c>
      <c r="AE107">
        <v>1.3011598671954323</v>
      </c>
    </row>
    <row r="108" spans="1:31" x14ac:dyDescent="0.25">
      <c r="B108">
        <v>286</v>
      </c>
      <c r="C108">
        <v>289</v>
      </c>
      <c r="D108">
        <v>292</v>
      </c>
      <c r="E108">
        <v>305</v>
      </c>
      <c r="F108">
        <v>306</v>
      </c>
      <c r="G108">
        <v>308</v>
      </c>
      <c r="H108">
        <v>294</v>
      </c>
      <c r="I108">
        <v>293</v>
      </c>
      <c r="J108">
        <v>289</v>
      </c>
      <c r="K108">
        <v>31</v>
      </c>
      <c r="L108">
        <v>32</v>
      </c>
      <c r="M108">
        <v>29</v>
      </c>
      <c r="N108" t="s">
        <v>39</v>
      </c>
      <c r="T108">
        <v>2.5</v>
      </c>
      <c r="U108">
        <v>20951.091666666664</v>
      </c>
      <c r="V108">
        <v>4746.3746666666666</v>
      </c>
      <c r="W108">
        <v>15521.047333333334</v>
      </c>
      <c r="X108">
        <v>9374.996000000001</v>
      </c>
      <c r="Y108">
        <v>341.34766666666661</v>
      </c>
      <c r="AA108">
        <v>552.84403880690616</v>
      </c>
      <c r="AB108">
        <v>90.442565987113198</v>
      </c>
      <c r="AC108">
        <v>101.3071316854509</v>
      </c>
      <c r="AD108">
        <v>622.71550826762041</v>
      </c>
      <c r="AE108">
        <v>6.5152281106138892</v>
      </c>
    </row>
    <row r="109" spans="1:31" x14ac:dyDescent="0.25">
      <c r="B109">
        <v>1431</v>
      </c>
      <c r="C109">
        <v>1557</v>
      </c>
      <c r="D109">
        <v>1772</v>
      </c>
      <c r="E109">
        <v>4553</v>
      </c>
      <c r="F109">
        <v>5298</v>
      </c>
      <c r="G109">
        <v>4857</v>
      </c>
      <c r="H109">
        <v>2112</v>
      </c>
      <c r="I109">
        <v>2043</v>
      </c>
      <c r="J109">
        <v>2050</v>
      </c>
      <c r="K109">
        <v>62</v>
      </c>
      <c r="L109">
        <v>63</v>
      </c>
      <c r="M109">
        <v>62</v>
      </c>
      <c r="N109" t="s">
        <v>40</v>
      </c>
      <c r="T109">
        <v>5</v>
      </c>
      <c r="U109">
        <v>21163.459666666666</v>
      </c>
      <c r="V109">
        <v>3133.5319999999997</v>
      </c>
      <c r="W109">
        <v>13313.734666666665</v>
      </c>
      <c r="X109">
        <v>4331.7433333333329</v>
      </c>
      <c r="Y109">
        <v>535.98566666666659</v>
      </c>
      <c r="AA109">
        <v>159.78373335960481</v>
      </c>
      <c r="AB109">
        <v>61.356483919794485</v>
      </c>
      <c r="AC109">
        <v>54.531313071787594</v>
      </c>
      <c r="AD109">
        <v>76.378954597017739</v>
      </c>
      <c r="AE109">
        <v>22.066945469034309</v>
      </c>
    </row>
    <row r="110" spans="1:31" x14ac:dyDescent="0.25">
      <c r="B110">
        <v>1613.6669999999999</v>
      </c>
      <c r="C110">
        <v>1725.59</v>
      </c>
      <c r="D110">
        <v>1927.973</v>
      </c>
      <c r="E110">
        <v>4850.3249999999998</v>
      </c>
      <c r="F110">
        <v>5441.66</v>
      </c>
      <c r="G110">
        <v>5063.5950000000003</v>
      </c>
      <c r="H110">
        <v>2266.8240000000001</v>
      </c>
      <c r="I110">
        <v>2186.6640000000002</v>
      </c>
      <c r="J110">
        <v>2225.6</v>
      </c>
      <c r="K110">
        <v>1409.0909999999999</v>
      </c>
      <c r="L110">
        <v>1458.3330000000001</v>
      </c>
      <c r="M110">
        <v>1425.287</v>
      </c>
      <c r="N110" t="s">
        <v>41</v>
      </c>
      <c r="T110">
        <v>10</v>
      </c>
      <c r="U110">
        <v>20992.210666666666</v>
      </c>
      <c r="V110">
        <v>2119.6503333333335</v>
      </c>
      <c r="W110">
        <v>10540.164000000001</v>
      </c>
      <c r="X110">
        <v>2366.1210000000005</v>
      </c>
      <c r="Y110">
        <v>979.14733333333334</v>
      </c>
      <c r="AA110">
        <v>188.68691772439757</v>
      </c>
      <c r="AB110">
        <v>54.661500659361188</v>
      </c>
      <c r="AC110">
        <v>79.675603361379544</v>
      </c>
      <c r="AD110">
        <v>79.176307838898452</v>
      </c>
      <c r="AE110">
        <v>89.160980940842862</v>
      </c>
    </row>
    <row r="111" spans="1:31" x14ac:dyDescent="0.25">
      <c r="A111" t="s">
        <v>46</v>
      </c>
      <c r="B111">
        <v>0.90300000000000002</v>
      </c>
      <c r="C111">
        <v>0.88500000000000001</v>
      </c>
      <c r="D111">
        <v>0.93600000000000005</v>
      </c>
      <c r="E111">
        <v>0.96899999999999997</v>
      </c>
      <c r="F111">
        <v>0.97599999999999998</v>
      </c>
      <c r="G111">
        <v>0.96299999999999997</v>
      </c>
      <c r="H111">
        <v>0.92400000000000004</v>
      </c>
      <c r="I111">
        <v>0.92600000000000005</v>
      </c>
      <c r="J111">
        <v>0.93200000000000005</v>
      </c>
      <c r="K111">
        <v>4.3999999999999997E-2</v>
      </c>
      <c r="L111">
        <v>4.2999999999999997E-2</v>
      </c>
      <c r="M111">
        <v>4.3999999999999997E-2</v>
      </c>
      <c r="N111">
        <v>600</v>
      </c>
      <c r="T111">
        <v>20</v>
      </c>
      <c r="U111">
        <v>20794.377666666667</v>
      </c>
      <c r="V111">
        <v>1692.0276666666666</v>
      </c>
      <c r="W111">
        <v>8122.5403333333334</v>
      </c>
      <c r="X111">
        <v>1768.6823333333332</v>
      </c>
      <c r="Y111">
        <v>1755.7433333333331</v>
      </c>
      <c r="AA111">
        <v>134.28101854072011</v>
      </c>
      <c r="AB111">
        <v>56.976988559710051</v>
      </c>
      <c r="AC111">
        <v>130.92009937871813</v>
      </c>
      <c r="AD111">
        <v>56.206693572325847</v>
      </c>
      <c r="AE111">
        <v>159.30782479945341</v>
      </c>
    </row>
    <row r="112" spans="1:31" x14ac:dyDescent="0.25">
      <c r="B112">
        <v>330</v>
      </c>
      <c r="C112">
        <v>329</v>
      </c>
      <c r="D112">
        <v>338</v>
      </c>
      <c r="E112">
        <v>355</v>
      </c>
      <c r="F112">
        <v>359</v>
      </c>
      <c r="G112">
        <v>359</v>
      </c>
      <c r="H112">
        <v>352</v>
      </c>
      <c r="I112">
        <v>348</v>
      </c>
      <c r="J112">
        <v>353</v>
      </c>
      <c r="K112">
        <v>32</v>
      </c>
      <c r="L112">
        <v>30</v>
      </c>
      <c r="M112">
        <v>32</v>
      </c>
      <c r="N112" t="s">
        <v>39</v>
      </c>
      <c r="T112">
        <v>40</v>
      </c>
      <c r="U112">
        <v>20427.981333333333</v>
      </c>
      <c r="V112">
        <v>1580.3946666666668</v>
      </c>
      <c r="W112">
        <v>6888.121666666666</v>
      </c>
      <c r="X112">
        <v>1712.0690000000002</v>
      </c>
      <c r="Y112">
        <v>3445.4736666666668</v>
      </c>
      <c r="AA112">
        <v>137.96663226060613</v>
      </c>
      <c r="AB112">
        <v>46.678392349494302</v>
      </c>
      <c r="AC112">
        <v>133.8266432229895</v>
      </c>
      <c r="AD112">
        <v>48.990968239053984</v>
      </c>
      <c r="AE112">
        <v>359.7602046618461</v>
      </c>
    </row>
    <row r="113" spans="1:31" x14ac:dyDescent="0.25">
      <c r="B113">
        <v>2951</v>
      </c>
      <c r="C113">
        <v>2840</v>
      </c>
      <c r="D113">
        <v>3612</v>
      </c>
      <c r="E113">
        <v>8031</v>
      </c>
      <c r="F113">
        <v>8363</v>
      </c>
      <c r="G113">
        <v>7795</v>
      </c>
      <c r="H113">
        <v>3798</v>
      </c>
      <c r="I113">
        <v>3647</v>
      </c>
      <c r="J113">
        <v>3661</v>
      </c>
      <c r="K113">
        <v>63</v>
      </c>
      <c r="L113">
        <v>62</v>
      </c>
      <c r="M113">
        <v>62</v>
      </c>
      <c r="N113" t="s">
        <v>40</v>
      </c>
      <c r="T113">
        <v>60</v>
      </c>
      <c r="U113">
        <v>20546.48</v>
      </c>
      <c r="V113">
        <v>1609.4210000000003</v>
      </c>
      <c r="W113">
        <v>6911.7506666666668</v>
      </c>
      <c r="X113">
        <v>1762.7560000000001</v>
      </c>
      <c r="Y113">
        <v>4414.6573333333336</v>
      </c>
      <c r="AA113">
        <v>69.680028652405241</v>
      </c>
      <c r="AB113">
        <v>37.291585176819694</v>
      </c>
      <c r="AC113">
        <v>100.73595998119674</v>
      </c>
      <c r="AD113">
        <v>43.528870833046014</v>
      </c>
      <c r="AE113">
        <v>79.828919379717078</v>
      </c>
    </row>
    <row r="114" spans="1:31" x14ac:dyDescent="0.25">
      <c r="B114">
        <v>3269.0819999999999</v>
      </c>
      <c r="C114">
        <v>3207.9520000000002</v>
      </c>
      <c r="D114">
        <v>3859.3870000000002</v>
      </c>
      <c r="E114">
        <v>8286.2150000000001</v>
      </c>
      <c r="F114">
        <v>8565.1370000000006</v>
      </c>
      <c r="G114">
        <v>8093.6559999999999</v>
      </c>
      <c r="H114">
        <v>4111.7250000000004</v>
      </c>
      <c r="I114">
        <v>3937.1689999999999</v>
      </c>
      <c r="J114">
        <v>3926.848</v>
      </c>
      <c r="K114">
        <v>1425.3389999999999</v>
      </c>
      <c r="L114">
        <v>1458.8240000000001</v>
      </c>
      <c r="M114">
        <v>1415.5250000000001</v>
      </c>
      <c r="N114" t="s">
        <v>41</v>
      </c>
      <c r="T114">
        <v>200</v>
      </c>
      <c r="U114">
        <v>21141.141666666666</v>
      </c>
      <c r="V114">
        <v>1654.9870000000001</v>
      </c>
      <c r="W114">
        <v>6874.9069999999992</v>
      </c>
      <c r="X114">
        <v>1791.0139999999999</v>
      </c>
      <c r="Y114">
        <v>5174.1483333333335</v>
      </c>
      <c r="AA114">
        <v>88.277085114617222</v>
      </c>
      <c r="AB114">
        <v>39.473175549985825</v>
      </c>
      <c r="AC114">
        <v>96.186940490900142</v>
      </c>
      <c r="AD114">
        <v>37.25144242844835</v>
      </c>
      <c r="AE114">
        <v>71.381145306960178</v>
      </c>
    </row>
    <row r="115" spans="1:31" x14ac:dyDescent="0.25">
      <c r="A115" t="s">
        <v>47</v>
      </c>
      <c r="B115">
        <v>0.87</v>
      </c>
      <c r="C115">
        <v>0.88200000000000001</v>
      </c>
      <c r="D115">
        <v>0.92500000000000004</v>
      </c>
      <c r="E115">
        <v>0.96899999999999997</v>
      </c>
      <c r="F115">
        <v>0.97199999999999998</v>
      </c>
      <c r="G115">
        <v>0.97</v>
      </c>
      <c r="H115">
        <v>0.91300000000000003</v>
      </c>
      <c r="I115">
        <v>0.91300000000000003</v>
      </c>
      <c r="J115">
        <v>0.90600000000000003</v>
      </c>
      <c r="K115">
        <v>4.3999999999999997E-2</v>
      </c>
      <c r="L115">
        <v>4.2999999999999997E-2</v>
      </c>
      <c r="M115">
        <v>4.3999999999999997E-2</v>
      </c>
      <c r="N115">
        <v>600</v>
      </c>
    </row>
    <row r="116" spans="1:31" x14ac:dyDescent="0.25">
      <c r="B116">
        <v>342</v>
      </c>
      <c r="C116">
        <v>351</v>
      </c>
      <c r="D116">
        <v>358</v>
      </c>
      <c r="E116">
        <v>384</v>
      </c>
      <c r="F116">
        <v>388</v>
      </c>
      <c r="G116">
        <v>380</v>
      </c>
      <c r="H116">
        <v>370</v>
      </c>
      <c r="I116">
        <v>369</v>
      </c>
      <c r="J116">
        <v>367</v>
      </c>
      <c r="K116">
        <v>28</v>
      </c>
      <c r="L116">
        <v>32</v>
      </c>
      <c r="M116">
        <v>29</v>
      </c>
      <c r="N116" t="s">
        <v>39</v>
      </c>
    </row>
    <row r="117" spans="1:31" x14ac:dyDescent="0.25">
      <c r="B117">
        <v>3850</v>
      </c>
      <c r="C117">
        <v>3822</v>
      </c>
      <c r="D117">
        <v>4154</v>
      </c>
      <c r="E117">
        <v>8989</v>
      </c>
      <c r="F117">
        <v>9333</v>
      </c>
      <c r="G117">
        <v>8990</v>
      </c>
      <c r="H117">
        <v>4391</v>
      </c>
      <c r="I117">
        <v>4297</v>
      </c>
      <c r="J117">
        <v>4202</v>
      </c>
      <c r="K117">
        <v>66</v>
      </c>
      <c r="L117">
        <v>64</v>
      </c>
      <c r="M117">
        <v>64</v>
      </c>
      <c r="N117" t="s">
        <v>40</v>
      </c>
    </row>
    <row r="118" spans="1:31" x14ac:dyDescent="0.25">
      <c r="B118">
        <v>4423.2539999999999</v>
      </c>
      <c r="C118">
        <v>4330.8779999999997</v>
      </c>
      <c r="D118">
        <v>4489.84</v>
      </c>
      <c r="E118">
        <v>9278.4889999999996</v>
      </c>
      <c r="F118">
        <v>9598.8889999999992</v>
      </c>
      <c r="G118">
        <v>9267.0859999999993</v>
      </c>
      <c r="H118">
        <v>4811.5280000000002</v>
      </c>
      <c r="I118">
        <v>4707.4930000000004</v>
      </c>
      <c r="J118">
        <v>4635.9219999999996</v>
      </c>
      <c r="K118">
        <v>1503.4169999999999</v>
      </c>
      <c r="L118">
        <v>1502.347</v>
      </c>
      <c r="M118">
        <v>1467.89</v>
      </c>
      <c r="N118" t="s">
        <v>41</v>
      </c>
    </row>
    <row r="119" spans="1:31" x14ac:dyDescent="0.25">
      <c r="A119" t="s">
        <v>48</v>
      </c>
      <c r="B119">
        <v>0.89</v>
      </c>
      <c r="C119">
        <v>0.88500000000000001</v>
      </c>
      <c r="D119">
        <v>0.94599999999999995</v>
      </c>
      <c r="E119">
        <v>0.97599999999999998</v>
      </c>
      <c r="F119">
        <v>0.98199999999999998</v>
      </c>
      <c r="G119">
        <v>0.96199999999999997</v>
      </c>
      <c r="H119">
        <v>0.91800000000000004</v>
      </c>
      <c r="I119">
        <v>0.91600000000000004</v>
      </c>
      <c r="J119">
        <v>0.91400000000000003</v>
      </c>
      <c r="K119">
        <v>4.8000000000000001E-2</v>
      </c>
      <c r="L119">
        <v>4.3999999999999997E-2</v>
      </c>
      <c r="M119">
        <v>4.3999999999999997E-2</v>
      </c>
      <c r="N119">
        <v>600</v>
      </c>
    </row>
    <row r="120" spans="1:31" x14ac:dyDescent="0.25">
      <c r="B120">
        <v>382</v>
      </c>
      <c r="C120">
        <v>383</v>
      </c>
      <c r="D120">
        <v>399</v>
      </c>
      <c r="E120">
        <v>424</v>
      </c>
      <c r="F120">
        <v>424</v>
      </c>
      <c r="G120">
        <v>416</v>
      </c>
      <c r="H120">
        <v>405</v>
      </c>
      <c r="I120">
        <v>399</v>
      </c>
      <c r="J120">
        <v>394</v>
      </c>
      <c r="K120">
        <v>33</v>
      </c>
      <c r="L120">
        <v>32</v>
      </c>
      <c r="M120">
        <v>32</v>
      </c>
      <c r="N120" t="s">
        <v>39</v>
      </c>
    </row>
    <row r="121" spans="1:31" x14ac:dyDescent="0.25">
      <c r="B121">
        <v>4637</v>
      </c>
      <c r="C121">
        <v>4506</v>
      </c>
      <c r="D121">
        <v>4940</v>
      </c>
      <c r="E121">
        <v>9612</v>
      </c>
      <c r="F121">
        <v>9726</v>
      </c>
      <c r="G121">
        <v>9650</v>
      </c>
      <c r="H121">
        <v>4844</v>
      </c>
      <c r="I121">
        <v>4753</v>
      </c>
      <c r="J121">
        <v>4784</v>
      </c>
      <c r="K121">
        <v>62</v>
      </c>
      <c r="L121">
        <v>64</v>
      </c>
      <c r="M121">
        <v>63</v>
      </c>
      <c r="N121" t="s">
        <v>40</v>
      </c>
    </row>
    <row r="122" spans="1:31" x14ac:dyDescent="0.25">
      <c r="B122">
        <v>5208.357</v>
      </c>
      <c r="C122">
        <v>5092.1009999999997</v>
      </c>
      <c r="D122">
        <v>5221.9870000000001</v>
      </c>
      <c r="E122">
        <v>9844.3259999999991</v>
      </c>
      <c r="F122">
        <v>9909.3220000000001</v>
      </c>
      <c r="G122">
        <v>10032.227999999999</v>
      </c>
      <c r="H122">
        <v>5277.2629999999999</v>
      </c>
      <c r="I122">
        <v>5188.8649999999998</v>
      </c>
      <c r="J122">
        <v>5234.1360000000004</v>
      </c>
      <c r="K122">
        <v>1286.307</v>
      </c>
      <c r="L122">
        <v>1451.2470000000001</v>
      </c>
      <c r="M122">
        <v>1444.954</v>
      </c>
      <c r="N122" t="s">
        <v>41</v>
      </c>
    </row>
  </sheetData>
  <conditionalFormatting sqref="AD56:AF6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N40"/>
  <sheetViews>
    <sheetView tabSelected="1" zoomScale="106" workbookViewId="0">
      <selection activeCell="F7" sqref="F7"/>
    </sheetView>
  </sheetViews>
  <sheetFormatPr defaultColWidth="11" defaultRowHeight="15.75" x14ac:dyDescent="0.25"/>
  <sheetData>
    <row r="4" spans="1:12" x14ac:dyDescent="0.25">
      <c r="A4" t="s">
        <v>59</v>
      </c>
      <c r="H4" t="s">
        <v>58</v>
      </c>
    </row>
    <row r="5" spans="1:12" x14ac:dyDescent="0.25">
      <c r="B5" t="s">
        <v>50</v>
      </c>
      <c r="C5" t="s">
        <v>51</v>
      </c>
      <c r="D5" t="s">
        <v>52</v>
      </c>
      <c r="E5" t="s">
        <v>53</v>
      </c>
      <c r="F5" t="s">
        <v>54</v>
      </c>
      <c r="H5" t="s">
        <v>50</v>
      </c>
      <c r="I5" t="s">
        <v>51</v>
      </c>
      <c r="J5" t="s">
        <v>52</v>
      </c>
      <c r="K5" t="s">
        <v>53</v>
      </c>
      <c r="L5" t="s">
        <v>54</v>
      </c>
    </row>
    <row r="6" spans="1:12" x14ac:dyDescent="0.25">
      <c r="A6">
        <v>0</v>
      </c>
      <c r="B6">
        <v>21210.777666666665</v>
      </c>
      <c r="C6">
        <v>6379.1396666666669</v>
      </c>
      <c r="D6">
        <v>17008.854333333333</v>
      </c>
      <c r="E6">
        <v>17632.919666666668</v>
      </c>
      <c r="F6">
        <v>285.57099999999997</v>
      </c>
      <c r="H6">
        <v>762.48613778896561</v>
      </c>
      <c r="I6">
        <v>24.735153533651676</v>
      </c>
      <c r="J6">
        <v>140.36504787279864</v>
      </c>
      <c r="K6">
        <v>163.16640500523721</v>
      </c>
      <c r="L6">
        <v>1.3011598671954323</v>
      </c>
    </row>
    <row r="7" spans="1:12" x14ac:dyDescent="0.25">
      <c r="A7">
        <v>2.5</v>
      </c>
      <c r="B7">
        <v>20951.091666666664</v>
      </c>
      <c r="C7">
        <v>4746.3746666666666</v>
      </c>
      <c r="D7">
        <v>15521.047333333334</v>
      </c>
      <c r="E7">
        <v>9374.996000000001</v>
      </c>
      <c r="F7">
        <v>341.34766666666661</v>
      </c>
      <c r="H7">
        <v>552.84403880690616</v>
      </c>
      <c r="I7">
        <v>90.442565987113198</v>
      </c>
      <c r="J7">
        <v>101.3071316854509</v>
      </c>
      <c r="K7">
        <v>622.71550826762041</v>
      </c>
      <c r="L7">
        <v>6.5152281106138892</v>
      </c>
    </row>
    <row r="8" spans="1:12" x14ac:dyDescent="0.25">
      <c r="A8">
        <v>5</v>
      </c>
      <c r="B8">
        <v>21163.459666666666</v>
      </c>
      <c r="C8">
        <v>3133.5319999999997</v>
      </c>
      <c r="D8">
        <v>13313.734666666665</v>
      </c>
      <c r="E8">
        <v>4331.7433333333329</v>
      </c>
      <c r="F8">
        <v>535.98566666666659</v>
      </c>
      <c r="H8">
        <v>159.78373335960481</v>
      </c>
      <c r="I8">
        <v>61.356483919794485</v>
      </c>
      <c r="J8">
        <v>54.531313071787594</v>
      </c>
      <c r="K8">
        <v>76.378954597017739</v>
      </c>
      <c r="L8">
        <v>22.066945469034309</v>
      </c>
    </row>
    <row r="9" spans="1:12" x14ac:dyDescent="0.25">
      <c r="A9">
        <v>10</v>
      </c>
      <c r="B9">
        <v>20992.210666666666</v>
      </c>
      <c r="C9">
        <v>2119.6503333333335</v>
      </c>
      <c r="D9">
        <v>10540.164000000001</v>
      </c>
      <c r="E9">
        <v>2366.1210000000005</v>
      </c>
      <c r="F9">
        <v>979.14733333333334</v>
      </c>
      <c r="H9">
        <v>188.68691772439757</v>
      </c>
      <c r="I9">
        <v>54.661500659361188</v>
      </c>
      <c r="J9">
        <v>79.675603361379544</v>
      </c>
      <c r="K9">
        <v>79.176307838898452</v>
      </c>
      <c r="L9">
        <v>89.160980940842862</v>
      </c>
    </row>
    <row r="10" spans="1:12" x14ac:dyDescent="0.25">
      <c r="A10">
        <v>20</v>
      </c>
      <c r="B10">
        <v>20794.377666666667</v>
      </c>
      <c r="C10">
        <v>1692.0276666666666</v>
      </c>
      <c r="D10">
        <v>8122.5403333333334</v>
      </c>
      <c r="E10">
        <v>1768.6823333333332</v>
      </c>
      <c r="F10">
        <v>1755.7433333333331</v>
      </c>
      <c r="H10">
        <v>134.28101854072011</v>
      </c>
      <c r="I10">
        <v>56.976988559710051</v>
      </c>
      <c r="J10">
        <v>130.92009937871813</v>
      </c>
      <c r="K10">
        <v>56.206693572325847</v>
      </c>
      <c r="L10">
        <v>159.30782479945341</v>
      </c>
    </row>
    <row r="11" spans="1:12" x14ac:dyDescent="0.25">
      <c r="A11">
        <v>40</v>
      </c>
      <c r="B11">
        <v>20427.981333333333</v>
      </c>
      <c r="C11">
        <v>1580.3946666666668</v>
      </c>
      <c r="D11">
        <v>6888.121666666666</v>
      </c>
      <c r="E11">
        <v>1712.0690000000002</v>
      </c>
      <c r="F11">
        <v>3445.4736666666668</v>
      </c>
      <c r="H11">
        <v>137.96663226060613</v>
      </c>
      <c r="I11">
        <v>46.678392349494302</v>
      </c>
      <c r="J11">
        <v>133.8266432229895</v>
      </c>
      <c r="K11">
        <v>48.990968239053984</v>
      </c>
      <c r="L11">
        <v>359.7602046618461</v>
      </c>
    </row>
    <row r="12" spans="1:12" x14ac:dyDescent="0.25">
      <c r="A12">
        <v>60</v>
      </c>
      <c r="B12">
        <v>20546.48</v>
      </c>
      <c r="C12">
        <v>1609.4210000000003</v>
      </c>
      <c r="D12">
        <v>6911.7506666666668</v>
      </c>
      <c r="E12">
        <v>1762.7560000000001</v>
      </c>
      <c r="F12">
        <v>4414.6573333333336</v>
      </c>
      <c r="H12">
        <v>69.680028652405241</v>
      </c>
      <c r="I12">
        <v>37.291585176819694</v>
      </c>
      <c r="J12">
        <v>100.73595998119674</v>
      </c>
      <c r="K12">
        <v>43.528870833046014</v>
      </c>
      <c r="L12">
        <v>79.828919379717078</v>
      </c>
    </row>
    <row r="13" spans="1:12" x14ac:dyDescent="0.25">
      <c r="A13">
        <v>200</v>
      </c>
      <c r="B13">
        <v>21141.141666666666</v>
      </c>
      <c r="C13">
        <v>1654.9870000000001</v>
      </c>
      <c r="D13">
        <v>6874.9069999999992</v>
      </c>
      <c r="E13">
        <v>1791.0139999999999</v>
      </c>
      <c r="F13">
        <v>5174.1483333333335</v>
      </c>
      <c r="H13">
        <v>88.277085114617222</v>
      </c>
      <c r="I13">
        <v>39.473175549985825</v>
      </c>
      <c r="J13">
        <v>96.186940490900142</v>
      </c>
      <c r="K13">
        <v>37.25144242844835</v>
      </c>
      <c r="L13">
        <v>71.381145306960178</v>
      </c>
    </row>
    <row r="17" spans="1:14" x14ac:dyDescent="0.25">
      <c r="H17" t="s">
        <v>61</v>
      </c>
      <c r="N17" t="s">
        <v>60</v>
      </c>
    </row>
    <row r="18" spans="1:14" x14ac:dyDescent="0.25">
      <c r="B18" t="s">
        <v>50</v>
      </c>
      <c r="C18" t="s">
        <v>51</v>
      </c>
      <c r="D18" t="s">
        <v>52</v>
      </c>
      <c r="E18" t="s">
        <v>53</v>
      </c>
      <c r="H18" t="s">
        <v>50</v>
      </c>
      <c r="I18" t="s">
        <v>51</v>
      </c>
      <c r="J18" t="s">
        <v>52</v>
      </c>
      <c r="K18" t="s">
        <v>53</v>
      </c>
    </row>
    <row r="19" spans="1:14" x14ac:dyDescent="0.25">
      <c r="A19">
        <v>285.57099999999997</v>
      </c>
      <c r="B19">
        <v>21210.777666666665</v>
      </c>
      <c r="C19">
        <v>6379.1396666666669</v>
      </c>
      <c r="D19">
        <v>17008.854333333333</v>
      </c>
      <c r="E19">
        <v>17632.919666666668</v>
      </c>
      <c r="H19">
        <v>762.48613778896561</v>
      </c>
      <c r="I19">
        <v>24.735153533651676</v>
      </c>
      <c r="J19">
        <v>140.36504787279864</v>
      </c>
      <c r="K19">
        <v>163.16640500523721</v>
      </c>
      <c r="N19">
        <v>1.3011598671954323</v>
      </c>
    </row>
    <row r="20" spans="1:14" x14ac:dyDescent="0.25">
      <c r="A20">
        <v>341.34766666666661</v>
      </c>
      <c r="B20">
        <v>20951.091666666664</v>
      </c>
      <c r="C20">
        <v>4746.3746666666666</v>
      </c>
      <c r="D20">
        <v>15521.047333333334</v>
      </c>
      <c r="E20">
        <v>9374.996000000001</v>
      </c>
      <c r="H20">
        <v>552.84403880690616</v>
      </c>
      <c r="I20">
        <v>90.442565987113198</v>
      </c>
      <c r="J20">
        <v>101.3071316854509</v>
      </c>
      <c r="K20">
        <v>622.71550826762041</v>
      </c>
      <c r="N20">
        <v>6.5152281106138892</v>
      </c>
    </row>
    <row r="21" spans="1:14" x14ac:dyDescent="0.25">
      <c r="A21">
        <v>535.98566666666659</v>
      </c>
      <c r="B21">
        <v>21163.459666666666</v>
      </c>
      <c r="C21">
        <v>3133.5319999999997</v>
      </c>
      <c r="D21">
        <v>13313.734666666665</v>
      </c>
      <c r="E21">
        <v>4331.7433333333329</v>
      </c>
      <c r="H21">
        <v>159.78373335960481</v>
      </c>
      <c r="I21">
        <v>61.356483919794485</v>
      </c>
      <c r="J21">
        <v>54.531313071787594</v>
      </c>
      <c r="K21">
        <v>76.378954597017739</v>
      </c>
      <c r="N21">
        <v>22.066945469034309</v>
      </c>
    </row>
    <row r="22" spans="1:14" x14ac:dyDescent="0.25">
      <c r="A22">
        <v>979.14733333333334</v>
      </c>
      <c r="B22">
        <v>20992.210666666666</v>
      </c>
      <c r="C22">
        <v>2119.6503333333335</v>
      </c>
      <c r="D22">
        <v>10540.164000000001</v>
      </c>
      <c r="E22">
        <v>2366.1210000000005</v>
      </c>
      <c r="H22">
        <v>188.68691772439757</v>
      </c>
      <c r="I22">
        <v>54.661500659361188</v>
      </c>
      <c r="J22">
        <v>79.675603361379544</v>
      </c>
      <c r="K22">
        <v>79.176307838898452</v>
      </c>
      <c r="N22">
        <v>89.160980940842862</v>
      </c>
    </row>
    <row r="23" spans="1:14" x14ac:dyDescent="0.25">
      <c r="A23">
        <v>1755.7433333333331</v>
      </c>
      <c r="B23">
        <v>20794.377666666667</v>
      </c>
      <c r="C23">
        <v>1692.0276666666666</v>
      </c>
      <c r="D23">
        <v>8122.5403333333334</v>
      </c>
      <c r="E23">
        <v>1768.6823333333332</v>
      </c>
      <c r="H23">
        <v>134.28101854072011</v>
      </c>
      <c r="I23">
        <v>56.976988559710051</v>
      </c>
      <c r="J23">
        <v>130.92009937871813</v>
      </c>
      <c r="K23">
        <v>56.206693572325847</v>
      </c>
      <c r="N23">
        <v>159.30782479945341</v>
      </c>
    </row>
    <row r="24" spans="1:14" x14ac:dyDescent="0.25">
      <c r="A24">
        <v>3445.4736666666668</v>
      </c>
      <c r="B24">
        <v>20427.981333333333</v>
      </c>
      <c r="C24">
        <v>1580.3946666666668</v>
      </c>
      <c r="D24">
        <v>6888.121666666666</v>
      </c>
      <c r="E24">
        <v>1712.0690000000002</v>
      </c>
      <c r="H24">
        <v>137.96663226060613</v>
      </c>
      <c r="I24">
        <v>46.678392349494302</v>
      </c>
      <c r="J24">
        <v>133.8266432229895</v>
      </c>
      <c r="K24">
        <v>48.990968239053984</v>
      </c>
      <c r="N24">
        <v>359.7602046618461</v>
      </c>
    </row>
    <row r="25" spans="1:14" x14ac:dyDescent="0.25">
      <c r="A25">
        <v>4414.6573333333336</v>
      </c>
      <c r="B25">
        <v>20546.48</v>
      </c>
      <c r="C25">
        <v>1609.4210000000003</v>
      </c>
      <c r="D25">
        <v>6911.7506666666668</v>
      </c>
      <c r="E25">
        <v>1762.7560000000001</v>
      </c>
      <c r="H25">
        <v>69.680028652405241</v>
      </c>
      <c r="I25">
        <v>37.291585176819694</v>
      </c>
      <c r="J25">
        <v>100.73595998119674</v>
      </c>
      <c r="K25">
        <v>43.528870833046014</v>
      </c>
      <c r="N25">
        <v>79.828919379717078</v>
      </c>
    </row>
    <row r="26" spans="1:14" x14ac:dyDescent="0.25">
      <c r="A26">
        <v>5174.1483333333335</v>
      </c>
      <c r="B26">
        <v>21141.141666666666</v>
      </c>
      <c r="C26">
        <v>1654.9870000000001</v>
      </c>
      <c r="D26">
        <v>6874.9069999999992</v>
      </c>
      <c r="E26">
        <v>1791.0139999999999</v>
      </c>
      <c r="H26">
        <v>88.277085114617222</v>
      </c>
      <c r="I26">
        <v>39.473175549985825</v>
      </c>
      <c r="J26">
        <v>96.186940490900142</v>
      </c>
      <c r="K26">
        <v>37.25144242844835</v>
      </c>
      <c r="N26">
        <v>71.381145306960178</v>
      </c>
    </row>
    <row r="31" spans="1:14" x14ac:dyDescent="0.25">
      <c r="H31" t="s">
        <v>61</v>
      </c>
      <c r="M31" t="s">
        <v>62</v>
      </c>
    </row>
    <row r="32" spans="1:14" x14ac:dyDescent="0.25">
      <c r="B32" t="s">
        <v>50</v>
      </c>
      <c r="C32" t="s">
        <v>51</v>
      </c>
      <c r="D32" t="s">
        <v>52</v>
      </c>
      <c r="E32" t="s">
        <v>53</v>
      </c>
      <c r="H32" t="s">
        <v>50</v>
      </c>
      <c r="I32" t="s">
        <v>51</v>
      </c>
      <c r="J32" t="s">
        <v>52</v>
      </c>
      <c r="K32" t="s">
        <v>53</v>
      </c>
    </row>
    <row r="33" spans="1:13" x14ac:dyDescent="0.25">
      <c r="A33">
        <f>A19/5174.1483</f>
        <v>5.5191885396868111E-2</v>
      </c>
      <c r="B33">
        <v>21210.777666666665</v>
      </c>
      <c r="C33">
        <v>6379.1396666666669</v>
      </c>
      <c r="D33">
        <v>17008.854333333333</v>
      </c>
      <c r="E33">
        <v>17632.919666666668</v>
      </c>
      <c r="H33">
        <v>762.48613778896561</v>
      </c>
      <c r="I33">
        <v>24.735153533651676</v>
      </c>
      <c r="J33">
        <v>140.36504787279864</v>
      </c>
      <c r="K33">
        <v>163.16640500523721</v>
      </c>
      <c r="M33">
        <f>A33*SQRT((N19/A19)^2+(71.381145/5174.1483)^2)</f>
        <v>8.0186496992276429E-4</v>
      </c>
    </row>
    <row r="34" spans="1:13" x14ac:dyDescent="0.25">
      <c r="A34">
        <f t="shared" ref="A34:A40" si="0">A20/5174.1483</f>
        <v>6.5971759384373774E-2</v>
      </c>
      <c r="B34">
        <v>20951.091666666664</v>
      </c>
      <c r="C34">
        <v>4746.3746666666666</v>
      </c>
      <c r="D34">
        <v>15521.047333333334</v>
      </c>
      <c r="E34">
        <v>9374.996000000001</v>
      </c>
      <c r="H34">
        <v>552.84403880690616</v>
      </c>
      <c r="I34">
        <v>90.442565987113198</v>
      </c>
      <c r="J34">
        <v>101.3071316854509</v>
      </c>
      <c r="K34">
        <v>622.71550826762041</v>
      </c>
      <c r="M34">
        <f t="shared" ref="M34:M40" si="1">A34*SQRT((N20/A20)^2+(71.381145/5174.1483)^2)</f>
        <v>1.5536697084192685E-3</v>
      </c>
    </row>
    <row r="35" spans="1:13" x14ac:dyDescent="0.25">
      <c r="A35">
        <f t="shared" si="0"/>
        <v>0.10358915817443165</v>
      </c>
      <c r="B35">
        <v>21163.459666666666</v>
      </c>
      <c r="C35">
        <v>3133.5319999999997</v>
      </c>
      <c r="D35">
        <v>13313.734666666665</v>
      </c>
      <c r="E35">
        <v>4331.7433333333329</v>
      </c>
      <c r="H35">
        <v>159.78373335960481</v>
      </c>
      <c r="I35">
        <v>61.356483919794485</v>
      </c>
      <c r="J35">
        <v>54.531313071787594</v>
      </c>
      <c r="K35">
        <v>76.378954597017739</v>
      </c>
      <c r="M35">
        <f t="shared" si="1"/>
        <v>4.4979109902495941E-3</v>
      </c>
    </row>
    <row r="36" spans="1:13" x14ac:dyDescent="0.25">
      <c r="A36">
        <f t="shared" si="0"/>
        <v>0.18923835896495919</v>
      </c>
      <c r="B36">
        <v>20992.210666666666</v>
      </c>
      <c r="C36">
        <v>2119.6503333333335</v>
      </c>
      <c r="D36">
        <v>10540.164000000001</v>
      </c>
      <c r="E36">
        <v>2366.1210000000005</v>
      </c>
      <c r="H36">
        <v>188.68691772439757</v>
      </c>
      <c r="I36">
        <v>54.661500659361188</v>
      </c>
      <c r="J36">
        <v>79.675603361379544</v>
      </c>
      <c r="K36">
        <v>79.176307838898452</v>
      </c>
      <c r="M36">
        <f t="shared" si="1"/>
        <v>1.7428650605612578E-2</v>
      </c>
    </row>
    <row r="37" spans="1:13" x14ac:dyDescent="0.25">
      <c r="A37">
        <f t="shared" si="0"/>
        <v>0.3393299208940983</v>
      </c>
      <c r="B37">
        <v>20794.377666666667</v>
      </c>
      <c r="C37">
        <v>1692.0276666666666</v>
      </c>
      <c r="D37">
        <v>8122.5403333333334</v>
      </c>
      <c r="E37">
        <v>1768.6823333333332</v>
      </c>
      <c r="H37">
        <v>134.28101854072011</v>
      </c>
      <c r="I37">
        <v>56.976988559710051</v>
      </c>
      <c r="J37">
        <v>130.92009937871813</v>
      </c>
      <c r="K37">
        <v>56.206693572325847</v>
      </c>
      <c r="M37">
        <f t="shared" si="1"/>
        <v>3.1143036144428853E-2</v>
      </c>
    </row>
    <row r="38" spans="1:13" x14ac:dyDescent="0.25">
      <c r="A38">
        <f t="shared" si="0"/>
        <v>0.66590160677587595</v>
      </c>
      <c r="B38">
        <v>20427.981333333333</v>
      </c>
      <c r="C38">
        <v>1580.3946666666668</v>
      </c>
      <c r="D38">
        <v>6888.121666666666</v>
      </c>
      <c r="E38">
        <v>1712.0690000000002</v>
      </c>
      <c r="H38">
        <v>137.96663226060613</v>
      </c>
      <c r="I38">
        <v>46.678392349494302</v>
      </c>
      <c r="J38">
        <v>133.8266432229895</v>
      </c>
      <c r="K38">
        <v>48.990968239053984</v>
      </c>
      <c r="M38">
        <f t="shared" si="1"/>
        <v>7.0134580996512416E-2</v>
      </c>
    </row>
    <row r="39" spans="1:13" x14ac:dyDescent="0.25">
      <c r="A39">
        <f t="shared" si="0"/>
        <v>0.85321430259997255</v>
      </c>
      <c r="B39">
        <v>20546.48</v>
      </c>
      <c r="C39">
        <v>1609.4210000000003</v>
      </c>
      <c r="D39">
        <v>6911.7506666666668</v>
      </c>
      <c r="E39">
        <v>1762.7560000000001</v>
      </c>
      <c r="H39">
        <v>69.680028652405241</v>
      </c>
      <c r="I39">
        <v>37.291585176819694</v>
      </c>
      <c r="J39">
        <v>100.73595998119674</v>
      </c>
      <c r="K39">
        <v>43.528870833046014</v>
      </c>
      <c r="M39">
        <f t="shared" si="1"/>
        <v>1.9405817236961911E-2</v>
      </c>
    </row>
    <row r="40" spans="1:13" x14ac:dyDescent="0.25">
      <c r="A40">
        <f t="shared" si="0"/>
        <v>1.0000000064422843</v>
      </c>
      <c r="B40">
        <v>21141.141666666666</v>
      </c>
      <c r="C40">
        <v>1654.9870000000001</v>
      </c>
      <c r="D40">
        <v>6874.9069999999992</v>
      </c>
      <c r="E40">
        <v>1791.0139999999999</v>
      </c>
      <c r="H40">
        <v>88.277085114617222</v>
      </c>
      <c r="I40">
        <v>39.473175549985825</v>
      </c>
      <c r="J40">
        <v>96.186940490900142</v>
      </c>
      <c r="K40">
        <v>37.25144242844835</v>
      </c>
      <c r="M40">
        <f t="shared" si="1"/>
        <v>1.9510106407066553E-2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48"/>
  <sheetViews>
    <sheetView topLeftCell="A25" zoomScale="103" workbookViewId="0">
      <selection activeCell="E26" sqref="E26"/>
    </sheetView>
  </sheetViews>
  <sheetFormatPr defaultColWidth="11" defaultRowHeight="15.75" x14ac:dyDescent="0.25"/>
  <cols>
    <col min="1" max="1" width="23.125" customWidth="1"/>
  </cols>
  <sheetData>
    <row r="1" spans="1:9" x14ac:dyDescent="0.25">
      <c r="A1" t="s">
        <v>70</v>
      </c>
    </row>
    <row r="2" spans="1:9" x14ac:dyDescent="0.25">
      <c r="A2" t="s">
        <v>55</v>
      </c>
      <c r="B2" t="s">
        <v>63</v>
      </c>
    </row>
    <row r="3" spans="1:9" x14ac:dyDescent="0.25">
      <c r="A3">
        <v>176.28700000000001</v>
      </c>
      <c r="B3">
        <v>1.1302243140191339</v>
      </c>
      <c r="D3" t="s">
        <v>64</v>
      </c>
      <c r="E3" t="s">
        <v>65</v>
      </c>
      <c r="F3" t="s">
        <v>66</v>
      </c>
      <c r="H3" t="s">
        <v>65</v>
      </c>
      <c r="I3" t="s">
        <v>66</v>
      </c>
    </row>
    <row r="4" spans="1:9" x14ac:dyDescent="0.25">
      <c r="A4">
        <v>444.31466666666665</v>
      </c>
      <c r="B4">
        <v>31.344556805501878</v>
      </c>
      <c r="E4" t="s">
        <v>67</v>
      </c>
      <c r="F4" t="s">
        <v>68</v>
      </c>
      <c r="H4" t="s">
        <v>67</v>
      </c>
      <c r="I4" t="s">
        <v>68</v>
      </c>
    </row>
    <row r="5" spans="1:9" x14ac:dyDescent="0.25">
      <c r="A5">
        <v>1159.0796666666665</v>
      </c>
      <c r="B5">
        <v>64.121900785405032</v>
      </c>
      <c r="D5" t="s">
        <v>69</v>
      </c>
      <c r="E5">
        <v>11886.871333333334</v>
      </c>
      <c r="F5">
        <v>294.03166666666664</v>
      </c>
      <c r="H5">
        <v>176.74217482065026</v>
      </c>
      <c r="I5">
        <v>3.5513116356261003</v>
      </c>
    </row>
    <row r="6" spans="1:9" x14ac:dyDescent="0.25">
      <c r="A6">
        <v>2594.8626666666664</v>
      </c>
      <c r="B6">
        <v>88.781793569026959</v>
      </c>
    </row>
    <row r="7" spans="1:9" x14ac:dyDescent="0.25">
      <c r="A7">
        <v>5118.5266666666676</v>
      </c>
      <c r="B7">
        <v>299.47017640882592</v>
      </c>
    </row>
    <row r="8" spans="1:9" x14ac:dyDescent="0.25">
      <c r="A8">
        <v>8315.0026666666654</v>
      </c>
      <c r="B8">
        <v>237.05512155263276</v>
      </c>
    </row>
    <row r="9" spans="1:9" x14ac:dyDescent="0.25">
      <c r="A9">
        <v>9381.4879999999994</v>
      </c>
      <c r="B9">
        <v>188.36109790240647</v>
      </c>
    </row>
    <row r="10" spans="1:9" x14ac:dyDescent="0.25">
      <c r="A10">
        <v>9928.6253333333334</v>
      </c>
      <c r="B10">
        <v>95.426696523212613</v>
      </c>
    </row>
    <row r="16" spans="1:9" x14ac:dyDescent="0.25">
      <c r="B16" t="s">
        <v>71</v>
      </c>
      <c r="C16" t="s">
        <v>72</v>
      </c>
      <c r="D16" t="s">
        <v>73</v>
      </c>
      <c r="E16" t="s">
        <v>74</v>
      </c>
    </row>
    <row r="17" spans="1:5" x14ac:dyDescent="0.25">
      <c r="A17" t="s">
        <v>59</v>
      </c>
      <c r="B17">
        <v>9928.6253333333334</v>
      </c>
      <c r="C17">
        <v>176.28700000000001</v>
      </c>
      <c r="D17">
        <v>11886.871333333334</v>
      </c>
      <c r="E17">
        <v>294.03166666666664</v>
      </c>
    </row>
    <row r="18" spans="1:5" x14ac:dyDescent="0.25">
      <c r="A18" t="s">
        <v>58</v>
      </c>
      <c r="B18">
        <v>95.426696523212613</v>
      </c>
      <c r="C18">
        <v>1.1302243140191339</v>
      </c>
      <c r="D18">
        <v>176.74217482065026</v>
      </c>
      <c r="E18">
        <v>3.5513116356261003</v>
      </c>
    </row>
    <row r="21" spans="1:5" x14ac:dyDescent="0.25">
      <c r="B21" t="s">
        <v>76</v>
      </c>
      <c r="C21" t="s">
        <v>77</v>
      </c>
    </row>
    <row r="22" spans="1:5" x14ac:dyDescent="0.25">
      <c r="A22" t="s">
        <v>75</v>
      </c>
      <c r="B22">
        <f>B17/C17</f>
        <v>56.32080263055888</v>
      </c>
      <c r="C22">
        <f>D17/E17</f>
        <v>40.427180745838044</v>
      </c>
    </row>
    <row r="23" spans="1:5" x14ac:dyDescent="0.25">
      <c r="A23" t="s">
        <v>63</v>
      </c>
      <c r="B23">
        <f>B22*SQRT((B18/B17)^2+(C18/C17)^2)</f>
        <v>0.65069650101294185</v>
      </c>
      <c r="C23">
        <f>C22*SQRT((D18/D17)^2+(E18/E17)^2)</f>
        <v>0.77442664323249299</v>
      </c>
    </row>
    <row r="26" spans="1:5" x14ac:dyDescent="0.25">
      <c r="B26" t="s">
        <v>78</v>
      </c>
      <c r="C26" t="s">
        <v>79</v>
      </c>
      <c r="D26" t="s">
        <v>75</v>
      </c>
      <c r="E26" t="s">
        <v>80</v>
      </c>
    </row>
    <row r="27" spans="1:5" x14ac:dyDescent="0.25">
      <c r="A27" t="s">
        <v>81</v>
      </c>
      <c r="B27">
        <v>294.03166666666664</v>
      </c>
      <c r="C27">
        <v>3.5513116356261003</v>
      </c>
    </row>
    <row r="28" spans="1:5" x14ac:dyDescent="0.25">
      <c r="A28" t="s">
        <v>82</v>
      </c>
      <c r="B28">
        <v>11886.871333333334</v>
      </c>
      <c r="C28">
        <v>176.74217482065026</v>
      </c>
      <c r="D28">
        <v>40.427180745838044</v>
      </c>
      <c r="E28">
        <v>0.77442664323249299</v>
      </c>
    </row>
    <row r="29" spans="1:5" x14ac:dyDescent="0.25">
      <c r="A29" t="s">
        <v>83</v>
      </c>
      <c r="B29">
        <v>176.28700000000001</v>
      </c>
      <c r="C29">
        <v>1.1302243140191339</v>
      </c>
    </row>
    <row r="30" spans="1:5" x14ac:dyDescent="0.25">
      <c r="A30" t="s">
        <v>84</v>
      </c>
      <c r="B30">
        <v>9928.6253333333334</v>
      </c>
      <c r="C30">
        <v>95.426696523212613</v>
      </c>
      <c r="D30">
        <v>56.32080263055888</v>
      </c>
      <c r="E30">
        <v>0.65069650101294185</v>
      </c>
    </row>
    <row r="40" spans="1:3" x14ac:dyDescent="0.25">
      <c r="B40" t="s">
        <v>55</v>
      </c>
      <c r="C40" t="s">
        <v>63</v>
      </c>
    </row>
    <row r="41" spans="1:3" x14ac:dyDescent="0.25">
      <c r="A41">
        <v>0</v>
      </c>
      <c r="B41">
        <v>176.28700000000001</v>
      </c>
      <c r="C41">
        <v>1.1302243140191339</v>
      </c>
    </row>
    <row r="42" spans="1:3" x14ac:dyDescent="0.25">
      <c r="A42">
        <v>2.5</v>
      </c>
      <c r="B42">
        <v>444.31466666666665</v>
      </c>
      <c r="C42">
        <v>31.344556805501878</v>
      </c>
    </row>
    <row r="43" spans="1:3" x14ac:dyDescent="0.25">
      <c r="A43">
        <v>5</v>
      </c>
      <c r="B43">
        <v>1159.0796666666665</v>
      </c>
      <c r="C43">
        <v>64.121900785405032</v>
      </c>
    </row>
    <row r="44" spans="1:3" x14ac:dyDescent="0.25">
      <c r="A44">
        <v>10</v>
      </c>
      <c r="B44">
        <v>2594.8626666666664</v>
      </c>
      <c r="C44">
        <v>88.781793569026959</v>
      </c>
    </row>
    <row r="45" spans="1:3" x14ac:dyDescent="0.25">
      <c r="A45">
        <v>20</v>
      </c>
      <c r="B45">
        <v>5118.5266666666676</v>
      </c>
      <c r="C45">
        <v>299.47017640882592</v>
      </c>
    </row>
    <row r="46" spans="1:3" x14ac:dyDescent="0.25">
      <c r="A46">
        <v>40</v>
      </c>
      <c r="B46">
        <v>8315.0026666666654</v>
      </c>
      <c r="C46">
        <v>237.05512155263276</v>
      </c>
    </row>
    <row r="47" spans="1:3" x14ac:dyDescent="0.25">
      <c r="A47">
        <v>60</v>
      </c>
      <c r="B47">
        <v>9381.4879999999994</v>
      </c>
      <c r="C47">
        <v>188.36109790240647</v>
      </c>
    </row>
    <row r="48" spans="1:3" x14ac:dyDescent="0.25">
      <c r="A48">
        <v>200</v>
      </c>
      <c r="B48">
        <v>9928.6253333333334</v>
      </c>
      <c r="C48">
        <v>95.426696523212613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201112AofIEcoli_1</vt:lpstr>
      <vt:lpstr>Figure 4B plotting data</vt:lpstr>
      <vt:lpstr>Figure 4A plotting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Diego Alba</cp:lastModifiedBy>
  <dcterms:created xsi:type="dcterms:W3CDTF">2020-11-12T22:08:44Z</dcterms:created>
  <dcterms:modified xsi:type="dcterms:W3CDTF">2021-01-20T23:26:27Z</dcterms:modified>
</cp:coreProperties>
</file>